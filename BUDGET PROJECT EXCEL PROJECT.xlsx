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83ac3b4f91e629/Documents/DATA ANALYSIS/ExCEL PRACTICE/EXCEL PROJECT/"/>
    </mc:Choice>
  </mc:AlternateContent>
  <xr:revisionPtr revIDLastSave="98" documentId="8_{8DBDBB9C-677A-4388-AD94-B4F63D411B31}" xr6:coauthVersionLast="47" xr6:coauthVersionMax="47" xr10:uidLastSave="{DD875FE3-DD90-469C-823A-16A01B19BC15}"/>
  <bookViews>
    <workbookView xWindow="-120" yWindow="-120" windowWidth="20730" windowHeight="11160" activeTab="2" xr2:uid="{FF762CAE-BD13-4DC8-9AAC-209FC2ECB00F}"/>
  </bookViews>
  <sheets>
    <sheet name="Setup" sheetId="1" r:id="rId1"/>
    <sheet name="Pivot analysis" sheetId="4" r:id="rId2"/>
    <sheet name="Dashboard Analysis" sheetId="5" r:id="rId3"/>
    <sheet name="Transaction" sheetId="2" r:id="rId4"/>
    <sheet name="Summary" sheetId="3" r:id="rId5"/>
  </sheets>
  <definedNames>
    <definedName name="_xlnm._FilterDatabase" localSheetId="4" hidden="1">Summary!$A$1:$D$31</definedName>
    <definedName name="_xlnm.Print_Area" localSheetId="2">'Dashboard Analysis'!$A$1:$AA$41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B16" i="3"/>
  <c r="C3" i="3"/>
  <c r="C4" i="3"/>
  <c r="C6" i="3"/>
  <c r="C7" i="3"/>
  <c r="C8" i="3"/>
  <c r="C9" i="3"/>
  <c r="C2" i="3"/>
  <c r="B3" i="3"/>
  <c r="B4" i="3"/>
  <c r="B5" i="3"/>
  <c r="D5" i="3" s="1"/>
  <c r="B6" i="3"/>
  <c r="D6" i="3" s="1"/>
  <c r="B7" i="3"/>
  <c r="B8" i="3"/>
  <c r="D8" i="3" s="1"/>
  <c r="B9" i="3"/>
  <c r="D9" i="3" s="1"/>
  <c r="B10" i="3"/>
  <c r="D10" i="3" s="1"/>
  <c r="B11" i="3"/>
  <c r="D11" i="3" s="1"/>
  <c r="B2" i="3"/>
  <c r="D2" i="3" s="1"/>
  <c r="D4" i="3" l="1"/>
  <c r="D7" i="3"/>
  <c r="D3" i="3"/>
  <c r="B18" i="3"/>
  <c r="V30" i="5" s="1"/>
</calcChain>
</file>

<file path=xl/sharedStrings.xml><?xml version="1.0" encoding="utf-8"?>
<sst xmlns="http://schemas.openxmlformats.org/spreadsheetml/2006/main" count="335" uniqueCount="63">
  <si>
    <t>Category</t>
  </si>
  <si>
    <t>Rent</t>
  </si>
  <si>
    <t>Food</t>
  </si>
  <si>
    <t>Transport</t>
  </si>
  <si>
    <t>Utilities</t>
  </si>
  <si>
    <t>Data</t>
  </si>
  <si>
    <t>Entertainment</t>
  </si>
  <si>
    <t>Savings</t>
  </si>
  <si>
    <t>Others</t>
  </si>
  <si>
    <t>Monthly Budget (₦</t>
  </si>
  <si>
    <t>Investment</t>
  </si>
  <si>
    <t>Parents</t>
  </si>
  <si>
    <t>-</t>
  </si>
  <si>
    <t>Date</t>
  </si>
  <si>
    <t>Description</t>
  </si>
  <si>
    <t>Type</t>
  </si>
  <si>
    <t>Amount</t>
  </si>
  <si>
    <t>19/12/2025</t>
  </si>
  <si>
    <t>Food payment</t>
  </si>
  <si>
    <t>Expense</t>
  </si>
  <si>
    <t>19/12/2026</t>
  </si>
  <si>
    <t>Barbing</t>
  </si>
  <si>
    <t>Salary</t>
  </si>
  <si>
    <t>Income</t>
  </si>
  <si>
    <t>21/12/2025</t>
  </si>
  <si>
    <t>Rent Payment</t>
  </si>
  <si>
    <t>Withdrawal</t>
  </si>
  <si>
    <t>Outing</t>
  </si>
  <si>
    <t>22/12/2025</t>
  </si>
  <si>
    <t>Bonus salary</t>
  </si>
  <si>
    <t>25/12/2025</t>
  </si>
  <si>
    <t>24/12/2025</t>
  </si>
  <si>
    <t>28/12/2025</t>
  </si>
  <si>
    <t>29/12/2025</t>
  </si>
  <si>
    <t>Cream</t>
  </si>
  <si>
    <t>30/12/2025</t>
  </si>
  <si>
    <t>31/12/2025</t>
  </si>
  <si>
    <t>Laptop Charger</t>
  </si>
  <si>
    <t>airtime</t>
  </si>
  <si>
    <t>Dash(Chinaza)</t>
  </si>
  <si>
    <t>Dash(Naiemi)</t>
  </si>
  <si>
    <t>Groceries(Food ingredients)</t>
  </si>
  <si>
    <t>Key duplicate</t>
  </si>
  <si>
    <t>13/1/2026</t>
  </si>
  <si>
    <t>Micellaneous</t>
  </si>
  <si>
    <t>14/1/2026</t>
  </si>
  <si>
    <t>22/1/2026</t>
  </si>
  <si>
    <t>Actual expenses</t>
  </si>
  <si>
    <t>Budget</t>
  </si>
  <si>
    <t>variance</t>
  </si>
  <si>
    <t>Row Labels</t>
  </si>
  <si>
    <t>Grand Total</t>
  </si>
  <si>
    <t>Sum of Amount</t>
  </si>
  <si>
    <t>(All)</t>
  </si>
  <si>
    <t>FINANCIAL DASHBOARD</t>
  </si>
  <si>
    <t>Total income</t>
  </si>
  <si>
    <t>Total Expense</t>
  </si>
  <si>
    <t>Net balance</t>
  </si>
  <si>
    <t>NET BALANCE</t>
  </si>
  <si>
    <t>Underutilized</t>
  </si>
  <si>
    <t>Unused amount</t>
  </si>
  <si>
    <t>Overutilized</t>
  </si>
  <si>
    <t>Overused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</si>
</sst>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₦-470]* #,##0.00_-;\-[$₦-470]* #,##0.00_-;_-[$₦-470]* &quot;-&quot;??_-;_-@_-"/>
    <numFmt numFmtId="165" formatCode="_-[$₦-470]* #,##0_-;\-[$₦-470]* #,##0_-;_-[$₦-470]* &quot;-&quot;??_-;_-@_-"/>
    <numFmt numFmtId="166" formatCode="_-[$₦-470]* #,##0_-;\-[$₦-470]* #,##0_-;_-[$₦-470]* &quot;-&quot;_-;_-@_-"/>
  </numFmts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3"/>
      <name val="Aptos Narrow"/>
      <family val="2"/>
      <scheme val="minor"/>
    </font>
    <font>
      <sz val="11"/>
      <color theme="9" tint="0.79998168889431442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lgerian"/>
      <family val="5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0" fillId="0" borderId="0" xfId="0" applyNumberFormat="1"/>
    <xf numFmtId="165" fontId="0" fillId="0" borderId="0" xfId="0" applyNumberFormat="1"/>
    <xf numFmtId="14" fontId="0" fillId="0" borderId="0" xfId="0" applyNumberFormat="1" applyAlignment="1">
      <alignment horizontal="left"/>
    </xf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165" fontId="3" fillId="0" borderId="0" xfId="0" applyNumberFormat="1" applyFont="1"/>
    <xf numFmtId="0" fontId="2" fillId="2" borderId="0" xfId="0" applyFont="1" applyFill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0" xfId="0" applyFont="1" applyBorder="1"/>
    <xf numFmtId="0" fontId="3" fillId="0" borderId="6" xfId="0" applyFont="1" applyBorder="1"/>
    <xf numFmtId="0" fontId="5" fillId="0" borderId="0" xfId="0" applyFont="1" applyBorder="1" applyAlignment="1">
      <alignment horizontal="center" vertical="center"/>
    </xf>
    <xf numFmtId="165" fontId="4" fillId="0" borderId="0" xfId="0" applyNumberFormat="1" applyFont="1" applyBorder="1" applyAlignment="1">
      <alignment horizontal="center" vertical="center"/>
    </xf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0" fillId="0" borderId="10" xfId="0" applyBorder="1"/>
    <xf numFmtId="0" fontId="0" fillId="0" borderId="11" xfId="0" applyBorder="1"/>
    <xf numFmtId="0" fontId="0" fillId="4" borderId="11" xfId="0" applyFill="1" applyBorder="1"/>
    <xf numFmtId="0" fontId="0" fillId="0" borderId="12" xfId="0" applyBorder="1"/>
    <xf numFmtId="0" fontId="0" fillId="4" borderId="12" xfId="0" applyFill="1" applyBorder="1"/>
    <xf numFmtId="0" fontId="0" fillId="0" borderId="1" xfId="0" applyBorder="1"/>
    <xf numFmtId="0" fontId="0" fillId="3" borderId="11" xfId="0" applyFill="1" applyBorder="1"/>
    <xf numFmtId="0" fontId="0" fillId="3" borderId="12" xfId="0" applyFill="1" applyBorder="1"/>
  </cellXfs>
  <cellStyles count="1">
    <cellStyle name="Normal" xfId="0" builtinId="0"/>
  </cellStyles>
  <dxfs count="12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Budget vs Actual 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Summary!$B$1</c:f>
              <c:strCache>
                <c:ptCount val="1"/>
                <c:pt idx="0">
                  <c:v>Actual expenses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Summary!$A$2:$A$11</c:f>
              <c:strCache>
                <c:ptCount val="5"/>
                <c:pt idx="0">
                  <c:v>Food</c:v>
                </c:pt>
                <c:pt idx="1">
                  <c:v>Utilities</c:v>
                </c:pt>
                <c:pt idx="2">
                  <c:v>Data</c:v>
                </c:pt>
                <c:pt idx="3">
                  <c:v>Entertainment</c:v>
                </c:pt>
                <c:pt idx="4">
                  <c:v>Others</c:v>
                </c:pt>
              </c:strCache>
            </c:strRef>
          </c:cat>
          <c:val>
            <c:numRef>
              <c:f>Summary!$B$2:$B$11</c:f>
              <c:numCache>
                <c:formatCode>_-[$₦-470]* #,##0_-;\-[$₦-470]* #,##0_-;_-[$₦-470]* "-"_-;_-@_-</c:formatCode>
                <c:ptCount val="5"/>
                <c:pt idx="0">
                  <c:v>70860</c:v>
                </c:pt>
                <c:pt idx="1">
                  <c:v>27700</c:v>
                </c:pt>
                <c:pt idx="2">
                  <c:v>17200</c:v>
                </c:pt>
                <c:pt idx="3">
                  <c:v>20000</c:v>
                </c:pt>
                <c:pt idx="4">
                  <c:v>43500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77-4F15-8856-9CA87347236A}"/>
            </c:ext>
          </c:extLst>
        </c:ser>
        <c:ser>
          <c:idx val="1"/>
          <c:order val="1"/>
          <c:tx>
            <c:strRef>
              <c:f>Summary!$C$1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Summary!$A$2:$A$11</c:f>
              <c:strCache>
                <c:ptCount val="5"/>
                <c:pt idx="0">
                  <c:v>Food</c:v>
                </c:pt>
                <c:pt idx="1">
                  <c:v>Utilities</c:v>
                </c:pt>
                <c:pt idx="2">
                  <c:v>Data</c:v>
                </c:pt>
                <c:pt idx="3">
                  <c:v>Entertainment</c:v>
                </c:pt>
                <c:pt idx="4">
                  <c:v>Others</c:v>
                </c:pt>
              </c:strCache>
            </c:strRef>
          </c:cat>
          <c:val>
            <c:numRef>
              <c:f>Summary!$C$2:$C$11</c:f>
              <c:numCache>
                <c:formatCode>_-[$₦-470]* #,##0_-;\-[$₦-470]* #,##0_-;_-[$₦-470]* "-"??_-;_-@_-</c:formatCode>
                <c:ptCount val="5"/>
                <c:pt idx="0">
                  <c:v>50000</c:v>
                </c:pt>
                <c:pt idx="1">
                  <c:v>0</c:v>
                </c:pt>
                <c:pt idx="2">
                  <c:v>2000</c:v>
                </c:pt>
                <c:pt idx="3">
                  <c:v>4500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77-4F15-8856-9CA873472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5722239"/>
        <c:axId val="1345701599"/>
      </c:barChart>
      <c:catAx>
        <c:axId val="1345722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701599"/>
        <c:crosses val="autoZero"/>
        <c:auto val="1"/>
        <c:lblAlgn val="ctr"/>
        <c:lblOffset val="100"/>
        <c:noMultiLvlLbl val="0"/>
      </c:catAx>
      <c:valAx>
        <c:axId val="134570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₦-470]* #,##0_-;\-[$₦-470]* #,##0_-;_-[$₦-470]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722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INCOME  VS EXPENSE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E83-42E0-B069-B60EE5005C7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E83-42E0-B069-B60EE5005C7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1A1C3E9B-433C-4CE7-A7A8-D97D4B62FB77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BE83-42E0-B069-B60EE5005C7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Summary!$A$16:$A$17</c:f>
              <c:strCache>
                <c:ptCount val="2"/>
                <c:pt idx="0">
                  <c:v>Total income</c:v>
                </c:pt>
                <c:pt idx="1">
                  <c:v>Total Expense</c:v>
                </c:pt>
              </c:strCache>
            </c:strRef>
          </c:cat>
          <c:val>
            <c:numRef>
              <c:f>Summary!$B$16:$B$17</c:f>
              <c:numCache>
                <c:formatCode>_-[$₦-470]* #,##0_-;\-[$₦-470]* #,##0_-;_-[$₦-470]* "-"??_-;_-@_-</c:formatCode>
                <c:ptCount val="2"/>
                <c:pt idx="0">
                  <c:v>270300</c:v>
                </c:pt>
                <c:pt idx="1">
                  <c:v>266860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83-42E0-B069-B60EE5005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Summary!$B$1</c:f>
              <c:strCache>
                <c:ptCount val="1"/>
                <c:pt idx="0">
                  <c:v>Actual expenses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CBD-432F-B02E-249AB381108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CBD-432F-B02E-249AB381108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CBD-432F-B02E-249AB381108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CBD-432F-B02E-249AB381108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CBD-432F-B02E-249AB381108B}"/>
              </c:ext>
            </c:extLst>
          </c:dPt>
          <c:dLbls>
            <c:dLbl>
              <c:idx val="0"/>
              <c:spPr>
                <a:noFill/>
                <a:ln>
                  <a:solidFill>
                    <a:schemeClr val="bg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ln>
                        <a:noFill/>
                      </a:ln>
                      <a:blipFill>
                        <a:blip xmlns:r="http://schemas.openxmlformats.org/officeDocument/2006/relationships" r:embed="rId3"/>
                        <a:tile tx="0" ty="0" sx="100000" sy="100000" flip="none" algn="tl"/>
                      </a:blip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ACBD-432F-B02E-249AB381108B}"/>
                </c:ext>
              </c:extLst>
            </c:dLbl>
            <c:dLbl>
              <c:idx val="1"/>
              <c:spPr>
                <a:noFill/>
                <a:ln>
                  <a:solidFill>
                    <a:schemeClr val="bg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ln>
                        <a:noFill/>
                      </a:ln>
                      <a:blipFill>
                        <a:blip xmlns:r="http://schemas.openxmlformats.org/officeDocument/2006/relationships" r:embed="rId3"/>
                        <a:tile tx="0" ty="0" sx="100000" sy="100000" flip="none" algn="tl"/>
                      </a:blip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ACBD-432F-B02E-249AB381108B}"/>
                </c:ext>
              </c:extLst>
            </c:dLbl>
            <c:dLbl>
              <c:idx val="2"/>
              <c:spPr>
                <a:noFill/>
                <a:ln>
                  <a:solidFill>
                    <a:schemeClr val="bg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ln>
                        <a:noFill/>
                      </a:ln>
                      <a:blipFill>
                        <a:blip xmlns:r="http://schemas.openxmlformats.org/officeDocument/2006/relationships" r:embed="rId3"/>
                        <a:tile tx="0" ty="0" sx="100000" sy="100000" flip="none" algn="tl"/>
                      </a:blip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ACBD-432F-B02E-249AB381108B}"/>
                </c:ext>
              </c:extLst>
            </c:dLbl>
            <c:dLbl>
              <c:idx val="3"/>
              <c:spPr>
                <a:noFill/>
                <a:ln>
                  <a:solidFill>
                    <a:schemeClr val="bg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ln>
                        <a:noFill/>
                      </a:ln>
                      <a:blipFill>
                        <a:blip xmlns:r="http://schemas.openxmlformats.org/officeDocument/2006/relationships" r:embed="rId3"/>
                        <a:tile tx="0" ty="0" sx="100000" sy="100000" flip="none" algn="tl"/>
                      </a:blip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ACBD-432F-B02E-249AB381108B}"/>
                </c:ext>
              </c:extLst>
            </c:dLbl>
            <c:dLbl>
              <c:idx val="4"/>
              <c:spPr>
                <a:noFill/>
                <a:ln>
                  <a:solidFill>
                    <a:schemeClr val="bg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ln>
                        <a:noFill/>
                      </a:ln>
                      <a:blipFill>
                        <a:blip xmlns:r="http://schemas.openxmlformats.org/officeDocument/2006/relationships" r:embed="rId3"/>
                        <a:tile tx="0" ty="0" sx="100000" sy="100000" flip="none" algn="tl"/>
                      </a:blip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ACBD-432F-B02E-249AB381108B}"/>
                </c:ext>
              </c:extLst>
            </c:dLbl>
            <c:spPr>
              <a:noFill/>
              <a:ln>
                <a:solidFill>
                  <a:schemeClr val="bg1"/>
                </a:solidFill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ln>
                      <a:noFill/>
                    </a:ln>
                    <a:blipFill>
                      <a:blip xmlns:r="http://schemas.openxmlformats.org/officeDocument/2006/relationships" r:embed="rId3"/>
                      <a:tile tx="0" ty="0" sx="100000" sy="100000" flip="none" algn="tl"/>
                    </a:blip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Summary!$A$2:$A$11</c:f>
              <c:strCache>
                <c:ptCount val="5"/>
                <c:pt idx="0">
                  <c:v>Food</c:v>
                </c:pt>
                <c:pt idx="1">
                  <c:v>Utilities</c:v>
                </c:pt>
                <c:pt idx="2">
                  <c:v>Data</c:v>
                </c:pt>
                <c:pt idx="3">
                  <c:v>Entertainment</c:v>
                </c:pt>
                <c:pt idx="4">
                  <c:v>Others</c:v>
                </c:pt>
              </c:strCache>
            </c:strRef>
          </c:cat>
          <c:val>
            <c:numRef>
              <c:f>Summary!$B$2:$B$11</c:f>
              <c:numCache>
                <c:formatCode>_-[$₦-470]* #,##0_-;\-[$₦-470]* #,##0_-;_-[$₦-470]* "-"_-;_-@_-</c:formatCode>
                <c:ptCount val="5"/>
                <c:pt idx="0">
                  <c:v>70860</c:v>
                </c:pt>
                <c:pt idx="1">
                  <c:v>27700</c:v>
                </c:pt>
                <c:pt idx="2">
                  <c:v>17200</c:v>
                </c:pt>
                <c:pt idx="3">
                  <c:v>20000</c:v>
                </c:pt>
                <c:pt idx="4">
                  <c:v>43500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CBD-432F-B02E-249AB381108B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Summary!$B$21</c:f>
              <c:strCache>
                <c:ptCount val="1"/>
                <c:pt idx="0">
                  <c:v>Budget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502-475B-954B-1A7DA436D23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502-475B-954B-1A7DA436D23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502-475B-954B-1A7DA436D23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502-475B-954B-1A7DA436D23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502-475B-954B-1A7DA436D23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502-475B-954B-1A7DA436D23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F502-475B-954B-1A7DA436D23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F502-475B-954B-1A7DA436D23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F502-475B-954B-1A7DA436D23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F502-475B-954B-1A7DA436D23C}"/>
              </c:ext>
            </c:extLst>
          </c:dPt>
          <c:dLbls>
            <c:dLbl>
              <c:idx val="0"/>
              <c:tx>
                <c:rich>
                  <a:bodyPr rot="0" spcFirstLastPara="1" vertOverflow="overflow" horzOverflow="overflow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A207A32-41A5-4660-8DE8-5D022AC6F6AE}" type="CATEGORYNAME">
                      <a:rPr lang="en-US">
                        <a:solidFill>
                          <a:schemeClr val="tx1"/>
                        </a:solidFill>
                      </a:rPr>
                      <a:pPr>
                        <a:defRPr spc="0"/>
                      </a:pPr>
                      <a:t>[CATEGORY NAME]</a:t>
                    </a:fld>
                    <a:r>
                      <a:rPr lang="en-US" baseline="0"/>
                      <a:t>
</a:t>
                    </a:r>
                    <a:fld id="{60BC3FBC-8B6E-4EAA-B586-677E6ED5C74E}" type="PERCENTAGE">
                      <a:rPr lang="en-US" baseline="0">
                        <a:solidFill>
                          <a:schemeClr val="tx1"/>
                        </a:solidFill>
                      </a:rPr>
                      <a:pPr>
                        <a:defRPr spc="0"/>
                      </a:pPr>
                      <a:t>[PERCENTAGE]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F502-475B-954B-1A7DA436D23C}"/>
                </c:ext>
              </c:extLst>
            </c:dLbl>
            <c:dLbl>
              <c:idx val="1"/>
              <c:tx>
                <c:rich>
                  <a:bodyPr rot="0" spcFirstLastPara="1" vertOverflow="overflow" horzOverflow="overflow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635FF0A-9D5D-4F35-8749-E00F59EDEEF5}" type="CATEGORYNAME">
                      <a:rPr lang="en-US">
                        <a:solidFill>
                          <a:schemeClr val="tx1"/>
                        </a:solidFill>
                      </a:rPr>
                      <a:pPr>
                        <a:defRPr spc="0">
                          <a:solidFill>
                            <a:schemeClr val="accent1"/>
                          </a:solidFill>
                        </a:defRPr>
                      </a:pPr>
                      <a:t>[CATEGORY NAME]</a:t>
                    </a:fld>
                    <a:r>
                      <a:rPr lang="en-US" baseline="0">
                        <a:solidFill>
                          <a:schemeClr val="tx1"/>
                        </a:solidFill>
                      </a:rPr>
                      <a:t>
</a:t>
                    </a:r>
                    <a:fld id="{2689DE70-0278-45DC-841C-013381C2BD4D}" type="PERCENTAGE">
                      <a:rPr lang="en-US" baseline="0">
                        <a:solidFill>
                          <a:schemeClr val="tx1"/>
                        </a:solidFill>
                      </a:rPr>
                      <a:pPr>
                        <a:defRPr spc="0">
                          <a:solidFill>
                            <a:schemeClr val="accent1"/>
                          </a:solidFill>
                        </a:defRPr>
                      </a:pPr>
                      <a:t>[PERCENTAGE]</a:t>
                    </a:fld>
                    <a:endParaRPr lang="en-US" baseline="0">
                      <a:solidFill>
                        <a:schemeClr val="tx1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F502-475B-954B-1A7DA436D23C}"/>
                </c:ext>
              </c:extLst>
            </c:dLbl>
            <c:dLbl>
              <c:idx val="2"/>
              <c:tx>
                <c:rich>
                  <a:bodyPr rot="0" spcFirstLastPara="1" vertOverflow="overflow" horzOverflow="overflow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99DF491-3A0E-4752-9332-84BBEDA5B26B}" type="CATEGORYNAME">
                      <a:rPr lang="en-US">
                        <a:solidFill>
                          <a:schemeClr val="tx1"/>
                        </a:solidFill>
                      </a:rPr>
                      <a:pPr>
                        <a:defRPr spc="0">
                          <a:solidFill>
                            <a:schemeClr val="accent1"/>
                          </a:solidFill>
                        </a:defRPr>
                      </a:pPr>
                      <a:t>[CATEGORY NAME]</a:t>
                    </a:fld>
                    <a:r>
                      <a:rPr lang="en-US" baseline="0"/>
                      <a:t>
</a:t>
                    </a:r>
                    <a:fld id="{E0320C11-06DB-49C5-9A1D-E212D14F84F3}" type="PERCENTAGE">
                      <a:rPr lang="en-US" baseline="0">
                        <a:solidFill>
                          <a:schemeClr val="tx1"/>
                        </a:solidFill>
                      </a:rPr>
                      <a:pPr>
                        <a:defRPr spc="0">
                          <a:solidFill>
                            <a:schemeClr val="accent1"/>
                          </a:solidFill>
                        </a:defRPr>
                      </a:pPr>
                      <a:t>[PERCENTAGE]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F502-475B-954B-1A7DA436D23C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7-F502-475B-954B-1A7DA436D23C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9-F502-475B-954B-1A7DA436D23C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B-F502-475B-954B-1A7DA436D23C}"/>
                </c:ext>
              </c:extLst>
            </c:dLbl>
            <c:dLbl>
              <c:idx val="6"/>
              <c:tx>
                <c:rich>
                  <a:bodyPr rot="0" spcFirstLastPara="1" vertOverflow="overflow" horzOverflow="overflow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A708A4E-B452-44A7-BCA8-689781EDC649}" type="CATEGORYNAME">
                      <a:rPr lang="en-US">
                        <a:solidFill>
                          <a:schemeClr val="tx1"/>
                        </a:solidFill>
                      </a:rPr>
                      <a:pPr>
                        <a:defRPr spc="0">
                          <a:solidFill>
                            <a:schemeClr val="accent1"/>
                          </a:solidFill>
                        </a:defRPr>
                      </a:pPr>
                      <a:t>[CATEGORY NAME]</a:t>
                    </a:fld>
                    <a:r>
                      <a:rPr lang="en-US" baseline="0">
                        <a:solidFill>
                          <a:schemeClr val="tx1"/>
                        </a:solidFill>
                      </a:rPr>
                      <a:t>
</a:t>
                    </a:r>
                    <a:fld id="{1CC6D3C7-71B1-4B20-ACC2-0ADA53BA8D4E}" type="PERCENTAGE">
                      <a:rPr lang="en-US" baseline="0">
                        <a:solidFill>
                          <a:schemeClr val="tx1"/>
                        </a:solidFill>
                      </a:rPr>
                      <a:pPr>
                        <a:defRPr spc="0">
                          <a:solidFill>
                            <a:schemeClr val="accent1"/>
                          </a:solidFill>
                        </a:defRPr>
                      </a:pPr>
                      <a:t>[PERCENTAGE]</a:t>
                    </a:fld>
                    <a:endParaRPr lang="en-US" baseline="0">
                      <a:solidFill>
                        <a:schemeClr val="tx1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D-F502-475B-954B-1A7DA436D23C}"/>
                </c:ext>
              </c:extLst>
            </c:dLbl>
            <c:dLbl>
              <c:idx val="7"/>
              <c:tx>
                <c:rich>
                  <a:bodyPr rot="0" spcFirstLastPara="1" vertOverflow="overflow" horzOverflow="overflow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2A0628E-C3E7-44D9-A1FC-B82C13D9D94B}" type="CATEGORYNAME">
                      <a:rPr lang="en-US">
                        <a:solidFill>
                          <a:schemeClr val="tx1"/>
                        </a:solidFill>
                      </a:rPr>
                      <a:pPr>
                        <a:defRPr spc="0">
                          <a:solidFill>
                            <a:schemeClr val="accent1"/>
                          </a:solidFill>
                        </a:defRPr>
                      </a:pPr>
                      <a:t>[CATEGORY NAME]</a:t>
                    </a:fld>
                    <a:r>
                      <a:rPr lang="en-US" baseline="0">
                        <a:solidFill>
                          <a:schemeClr val="tx1"/>
                        </a:solidFill>
                      </a:rPr>
                      <a:t>
</a:t>
                    </a:r>
                    <a:fld id="{804B0168-12FA-4412-9A47-C64AD40857E6}" type="PERCENTAGE">
                      <a:rPr lang="en-US" baseline="0">
                        <a:solidFill>
                          <a:schemeClr val="tx1"/>
                        </a:solidFill>
                      </a:rPr>
                      <a:pPr>
                        <a:defRPr spc="0">
                          <a:solidFill>
                            <a:schemeClr val="accent1"/>
                          </a:solidFill>
                        </a:defRPr>
                      </a:pPr>
                      <a:t>[PERCENTAGE]</a:t>
                    </a:fld>
                    <a:endParaRPr lang="en-US" baseline="0">
                      <a:solidFill>
                        <a:schemeClr val="tx1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F-F502-475B-954B-1A7DA436D23C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11-F502-475B-954B-1A7DA436D23C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13-F502-475B-954B-1A7DA436D23C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rgbClr val="156082"/>
                </a:solidFill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Summary!$A$22:$A$31</c:f>
              <c:strCache>
                <c:ptCount val="10"/>
                <c:pt idx="0">
                  <c:v>Rent</c:v>
                </c:pt>
                <c:pt idx="1">
                  <c:v>Food</c:v>
                </c:pt>
                <c:pt idx="2">
                  <c:v>Transport</c:v>
                </c:pt>
                <c:pt idx="3">
                  <c:v>Utilities</c:v>
                </c:pt>
                <c:pt idx="4">
                  <c:v>Data</c:v>
                </c:pt>
                <c:pt idx="5">
                  <c:v>Entertainment</c:v>
                </c:pt>
                <c:pt idx="6">
                  <c:v>Investment</c:v>
                </c:pt>
                <c:pt idx="7">
                  <c:v>Parents</c:v>
                </c:pt>
                <c:pt idx="8">
                  <c:v>Savings</c:v>
                </c:pt>
                <c:pt idx="9">
                  <c:v>Others</c:v>
                </c:pt>
              </c:strCache>
            </c:strRef>
          </c:cat>
          <c:val>
            <c:numRef>
              <c:f>Summary!$B$22:$B$31</c:f>
              <c:numCache>
                <c:formatCode>General</c:formatCode>
                <c:ptCount val="10"/>
                <c:pt idx="0">
                  <c:v>30000</c:v>
                </c:pt>
                <c:pt idx="1">
                  <c:v>50000</c:v>
                </c:pt>
                <c:pt idx="2">
                  <c:v>45000</c:v>
                </c:pt>
                <c:pt idx="3">
                  <c:v>0</c:v>
                </c:pt>
                <c:pt idx="4">
                  <c:v>2000</c:v>
                </c:pt>
                <c:pt idx="5">
                  <c:v>4500</c:v>
                </c:pt>
                <c:pt idx="6">
                  <c:v>10000</c:v>
                </c:pt>
                <c:pt idx="7">
                  <c:v>10000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502-475B-954B-1A7DA436D23C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</a:t>
            </a:r>
            <a:r>
              <a:rPr lang="en-US" baseline="0"/>
              <a:t>/Budget per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Summary!$B$1</c:f>
              <c:strCache>
                <c:ptCount val="1"/>
                <c:pt idx="0">
                  <c:v>Actual expenses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Summary!$A$2:$A$11</c:f>
              <c:strCache>
                <c:ptCount val="5"/>
                <c:pt idx="0">
                  <c:v>Food</c:v>
                </c:pt>
                <c:pt idx="1">
                  <c:v>Utilities</c:v>
                </c:pt>
                <c:pt idx="2">
                  <c:v>Data</c:v>
                </c:pt>
                <c:pt idx="3">
                  <c:v>Entertainment</c:v>
                </c:pt>
                <c:pt idx="4">
                  <c:v>Others</c:v>
                </c:pt>
              </c:strCache>
            </c:strRef>
          </c:cat>
          <c:val>
            <c:numRef>
              <c:f>Summary!$B$2:$B$11</c:f>
              <c:numCache>
                <c:formatCode>_-[$₦-470]* #,##0_-;\-[$₦-470]* #,##0_-;_-[$₦-470]* "-"_-;_-@_-</c:formatCode>
                <c:ptCount val="5"/>
                <c:pt idx="0">
                  <c:v>70860</c:v>
                </c:pt>
                <c:pt idx="1">
                  <c:v>27700</c:v>
                </c:pt>
                <c:pt idx="2">
                  <c:v>17200</c:v>
                </c:pt>
                <c:pt idx="3">
                  <c:v>20000</c:v>
                </c:pt>
                <c:pt idx="4">
                  <c:v>43500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E9-4497-9FDB-3829B3D66805}"/>
            </c:ext>
          </c:extLst>
        </c:ser>
        <c:ser>
          <c:idx val="1"/>
          <c:order val="1"/>
          <c:tx>
            <c:strRef>
              <c:f>Summary!$C$1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Summary!$A$2:$A$11</c:f>
              <c:strCache>
                <c:ptCount val="5"/>
                <c:pt idx="0">
                  <c:v>Food</c:v>
                </c:pt>
                <c:pt idx="1">
                  <c:v>Utilities</c:v>
                </c:pt>
                <c:pt idx="2">
                  <c:v>Data</c:v>
                </c:pt>
                <c:pt idx="3">
                  <c:v>Entertainment</c:v>
                </c:pt>
                <c:pt idx="4">
                  <c:v>Others</c:v>
                </c:pt>
              </c:strCache>
            </c:strRef>
          </c:cat>
          <c:val>
            <c:numRef>
              <c:f>Summary!$C$2:$C$11</c:f>
              <c:numCache>
                <c:formatCode>_-[$₦-470]* #,##0_-;\-[$₦-470]* #,##0_-;_-[$₦-470]* "-"??_-;_-@_-</c:formatCode>
                <c:ptCount val="5"/>
                <c:pt idx="0">
                  <c:v>50000</c:v>
                </c:pt>
                <c:pt idx="1">
                  <c:v>0</c:v>
                </c:pt>
                <c:pt idx="2">
                  <c:v>2000</c:v>
                </c:pt>
                <c:pt idx="3">
                  <c:v>4500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E9-4497-9FDB-3829B3D66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3397680"/>
        <c:axId val="1683399600"/>
      </c:barChart>
      <c:catAx>
        <c:axId val="1683397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9600"/>
        <c:crosses val="autoZero"/>
        <c:auto val="1"/>
        <c:lblAlgn val="ctr"/>
        <c:lblOffset val="100"/>
        <c:noMultiLvlLbl val="0"/>
      </c:catAx>
      <c:valAx>
        <c:axId val="168339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₦-470]* #,##0_-;\-[$₦-470]* #,##0_-;_-[$₦-470]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7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Budget vs Actual 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Summary!$B$1</c:f>
              <c:strCache>
                <c:ptCount val="1"/>
                <c:pt idx="0">
                  <c:v>Actual expenses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Summary!$A$2:$A$11</c:f>
              <c:strCache>
                <c:ptCount val="5"/>
                <c:pt idx="0">
                  <c:v>Food</c:v>
                </c:pt>
                <c:pt idx="1">
                  <c:v>Utilities</c:v>
                </c:pt>
                <c:pt idx="2">
                  <c:v>Data</c:v>
                </c:pt>
                <c:pt idx="3">
                  <c:v>Entertainment</c:v>
                </c:pt>
                <c:pt idx="4">
                  <c:v>Others</c:v>
                </c:pt>
              </c:strCache>
            </c:strRef>
          </c:cat>
          <c:val>
            <c:numRef>
              <c:f>Summary!$B$2:$B$11</c:f>
              <c:numCache>
                <c:formatCode>_-[$₦-470]* #,##0_-;\-[$₦-470]* #,##0_-;_-[$₦-470]* "-"_-;_-@_-</c:formatCode>
                <c:ptCount val="5"/>
                <c:pt idx="0">
                  <c:v>70860</c:v>
                </c:pt>
                <c:pt idx="1">
                  <c:v>27700</c:v>
                </c:pt>
                <c:pt idx="2">
                  <c:v>17200</c:v>
                </c:pt>
                <c:pt idx="3">
                  <c:v>20000</c:v>
                </c:pt>
                <c:pt idx="4">
                  <c:v>43500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4-4A6A-B197-E9C9CB8899E8}"/>
            </c:ext>
          </c:extLst>
        </c:ser>
        <c:ser>
          <c:idx val="1"/>
          <c:order val="1"/>
          <c:tx>
            <c:strRef>
              <c:f>Summary!$C$1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Summary!$A$2:$A$11</c:f>
              <c:strCache>
                <c:ptCount val="5"/>
                <c:pt idx="0">
                  <c:v>Food</c:v>
                </c:pt>
                <c:pt idx="1">
                  <c:v>Utilities</c:v>
                </c:pt>
                <c:pt idx="2">
                  <c:v>Data</c:v>
                </c:pt>
                <c:pt idx="3">
                  <c:v>Entertainment</c:v>
                </c:pt>
                <c:pt idx="4">
                  <c:v>Others</c:v>
                </c:pt>
              </c:strCache>
            </c:strRef>
          </c:cat>
          <c:val>
            <c:numRef>
              <c:f>Summary!$C$2:$C$11</c:f>
              <c:numCache>
                <c:formatCode>_-[$₦-470]* #,##0_-;\-[$₦-470]* #,##0_-;_-[$₦-470]* "-"??_-;_-@_-</c:formatCode>
                <c:ptCount val="5"/>
                <c:pt idx="0">
                  <c:v>50000</c:v>
                </c:pt>
                <c:pt idx="1">
                  <c:v>0</c:v>
                </c:pt>
                <c:pt idx="2">
                  <c:v>2000</c:v>
                </c:pt>
                <c:pt idx="3">
                  <c:v>4500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4-4A6A-B197-E9C9CB889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5722239"/>
        <c:axId val="1345701599"/>
      </c:barChart>
      <c:catAx>
        <c:axId val="1345722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701599"/>
        <c:crosses val="autoZero"/>
        <c:auto val="1"/>
        <c:lblAlgn val="ctr"/>
        <c:lblOffset val="100"/>
        <c:noMultiLvlLbl val="0"/>
      </c:catAx>
      <c:valAx>
        <c:axId val="134570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₦-470]* #,##0_-;\-[$₦-470]* #,##0_-;_-[$₦-470]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722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INCOME  V EXPENSE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4C5-40F6-A8FA-E196C036292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313-4ABD-9310-EA61DCBD4B3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1A1C3E9B-433C-4CE7-A7A8-D97D4B62FB77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D4C5-40F6-A8FA-E196C03629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Summary!$A$16:$A$17</c:f>
              <c:strCache>
                <c:ptCount val="2"/>
                <c:pt idx="0">
                  <c:v>Total income</c:v>
                </c:pt>
                <c:pt idx="1">
                  <c:v>Total Expense</c:v>
                </c:pt>
              </c:strCache>
            </c:strRef>
          </c:cat>
          <c:val>
            <c:numRef>
              <c:f>Summary!$B$16:$B$17</c:f>
              <c:numCache>
                <c:formatCode>_-[$₦-470]* #,##0_-;\-[$₦-470]* #,##0_-;_-[$₦-470]* "-"??_-;_-@_-</c:formatCode>
                <c:ptCount val="2"/>
                <c:pt idx="0">
                  <c:v>270300</c:v>
                </c:pt>
                <c:pt idx="1">
                  <c:v>266860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C5-40F6-A8FA-E196C0362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Summary!$B$1</c:f>
              <c:strCache>
                <c:ptCount val="1"/>
                <c:pt idx="0">
                  <c:v>Actual expenses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8B6-4129-9DCE-E1A825F6277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78B6-4129-9DCE-E1A825F6277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8B6-4129-9DCE-E1A825F6277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78B6-4129-9DCE-E1A825F6277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8B6-4129-9DCE-E1A825F62771}"/>
              </c:ext>
            </c:extLst>
          </c:dPt>
          <c:dLbls>
            <c:dLbl>
              <c:idx val="0"/>
              <c:spPr>
                <a:noFill/>
                <a:ln>
                  <a:solidFill>
                    <a:schemeClr val="bg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ln>
                        <a:noFill/>
                      </a:ln>
                      <a:blipFill>
                        <a:blip xmlns:r="http://schemas.openxmlformats.org/officeDocument/2006/relationships" r:embed="rId3"/>
                        <a:tile tx="0" ty="0" sx="100000" sy="100000" flip="none" algn="tl"/>
                      </a:blip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78B6-4129-9DCE-E1A825F62771}"/>
                </c:ext>
              </c:extLst>
            </c:dLbl>
            <c:dLbl>
              <c:idx val="1"/>
              <c:spPr>
                <a:noFill/>
                <a:ln>
                  <a:solidFill>
                    <a:schemeClr val="bg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ln>
                        <a:noFill/>
                      </a:ln>
                      <a:blipFill>
                        <a:blip xmlns:r="http://schemas.openxmlformats.org/officeDocument/2006/relationships" r:embed="rId3"/>
                        <a:tile tx="0" ty="0" sx="100000" sy="100000" flip="none" algn="tl"/>
                      </a:blip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78B6-4129-9DCE-E1A825F62771}"/>
                </c:ext>
              </c:extLst>
            </c:dLbl>
            <c:dLbl>
              <c:idx val="2"/>
              <c:spPr>
                <a:noFill/>
                <a:ln>
                  <a:solidFill>
                    <a:schemeClr val="bg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ln>
                        <a:noFill/>
                      </a:ln>
                      <a:blipFill>
                        <a:blip xmlns:r="http://schemas.openxmlformats.org/officeDocument/2006/relationships" r:embed="rId3"/>
                        <a:tile tx="0" ty="0" sx="100000" sy="100000" flip="none" algn="tl"/>
                      </a:blip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78B6-4129-9DCE-E1A825F62771}"/>
                </c:ext>
              </c:extLst>
            </c:dLbl>
            <c:dLbl>
              <c:idx val="3"/>
              <c:spPr>
                <a:noFill/>
                <a:ln>
                  <a:solidFill>
                    <a:schemeClr val="bg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ln>
                        <a:noFill/>
                      </a:ln>
                      <a:blipFill>
                        <a:blip xmlns:r="http://schemas.openxmlformats.org/officeDocument/2006/relationships" r:embed="rId3"/>
                        <a:tile tx="0" ty="0" sx="100000" sy="100000" flip="none" algn="tl"/>
                      </a:blip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78B6-4129-9DCE-E1A825F62771}"/>
                </c:ext>
              </c:extLst>
            </c:dLbl>
            <c:dLbl>
              <c:idx val="4"/>
              <c:spPr>
                <a:noFill/>
                <a:ln>
                  <a:solidFill>
                    <a:schemeClr val="bg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ln>
                        <a:noFill/>
                      </a:ln>
                      <a:blipFill>
                        <a:blip xmlns:r="http://schemas.openxmlformats.org/officeDocument/2006/relationships" r:embed="rId3"/>
                        <a:tile tx="0" ty="0" sx="100000" sy="100000" flip="none" algn="tl"/>
                      </a:blip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78B6-4129-9DCE-E1A825F62771}"/>
                </c:ext>
              </c:extLst>
            </c:dLbl>
            <c:spPr>
              <a:noFill/>
              <a:ln>
                <a:solidFill>
                  <a:schemeClr val="bg1"/>
                </a:solidFill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ln>
                      <a:noFill/>
                    </a:ln>
                    <a:blipFill>
                      <a:blip xmlns:r="http://schemas.openxmlformats.org/officeDocument/2006/relationships" r:embed="rId3"/>
                      <a:tile tx="0" ty="0" sx="100000" sy="100000" flip="none" algn="tl"/>
                    </a:blip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Summary!$A$2:$A$11</c:f>
              <c:strCache>
                <c:ptCount val="5"/>
                <c:pt idx="0">
                  <c:v>Food</c:v>
                </c:pt>
                <c:pt idx="1">
                  <c:v>Utilities</c:v>
                </c:pt>
                <c:pt idx="2">
                  <c:v>Data</c:v>
                </c:pt>
                <c:pt idx="3">
                  <c:v>Entertainment</c:v>
                </c:pt>
                <c:pt idx="4">
                  <c:v>Others</c:v>
                </c:pt>
              </c:strCache>
            </c:strRef>
          </c:cat>
          <c:val>
            <c:numRef>
              <c:f>Summary!$B$2:$B$11</c:f>
              <c:numCache>
                <c:formatCode>_-[$₦-470]* #,##0_-;\-[$₦-470]* #,##0_-;_-[$₦-470]* "-"_-;_-@_-</c:formatCode>
                <c:ptCount val="5"/>
                <c:pt idx="0">
                  <c:v>70860</c:v>
                </c:pt>
                <c:pt idx="1">
                  <c:v>27700</c:v>
                </c:pt>
                <c:pt idx="2">
                  <c:v>17200</c:v>
                </c:pt>
                <c:pt idx="3">
                  <c:v>20000</c:v>
                </c:pt>
                <c:pt idx="4">
                  <c:v>43500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B6-4129-9DCE-E1A825F62771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Summary!$B$21</c:f>
              <c:strCache>
                <c:ptCount val="1"/>
                <c:pt idx="0">
                  <c:v>Budget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899-4603-9F4E-A0EF82424D9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D899-4603-9F4E-A0EF82424D9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899-4603-9F4E-A0EF82424D9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D899-4603-9F4E-A0EF82424D9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899-4603-9F4E-A0EF82424D9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D899-4603-9F4E-A0EF82424D9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899-4603-9F4E-A0EF82424D9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D899-4603-9F4E-A0EF82424D9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899-4603-9F4E-A0EF82424D9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D899-4603-9F4E-A0EF82424D9B}"/>
              </c:ext>
            </c:extLst>
          </c:dPt>
          <c:dLbls>
            <c:dLbl>
              <c:idx val="0"/>
              <c:tx>
                <c:rich>
                  <a:bodyPr rot="0" spcFirstLastPara="1" vertOverflow="overflow" horzOverflow="overflow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A207A32-41A5-4660-8DE8-5D022AC6F6AE}" type="CATEGORYNAME">
                      <a:rPr lang="en-US">
                        <a:solidFill>
                          <a:schemeClr val="tx1"/>
                        </a:solidFill>
                      </a:rPr>
                      <a:pPr>
                        <a:defRPr spc="0"/>
                      </a:pPr>
                      <a:t>[CATEGORY NAME]</a:t>
                    </a:fld>
                    <a:r>
                      <a:rPr lang="en-US" baseline="0"/>
                      <a:t>
</a:t>
                    </a:r>
                    <a:fld id="{60BC3FBC-8B6E-4EAA-B586-677E6ED5C74E}" type="PERCENTAGE">
                      <a:rPr lang="en-US" baseline="0">
                        <a:solidFill>
                          <a:schemeClr val="tx1"/>
                        </a:solidFill>
                      </a:rPr>
                      <a:pPr>
                        <a:defRPr spc="0"/>
                      </a:pPr>
                      <a:t>[PERCENTAGE]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D899-4603-9F4E-A0EF82424D9B}"/>
                </c:ext>
              </c:extLst>
            </c:dLbl>
            <c:dLbl>
              <c:idx val="1"/>
              <c:tx>
                <c:rich>
                  <a:bodyPr rot="0" spcFirstLastPara="1" vertOverflow="overflow" horzOverflow="overflow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635FF0A-9D5D-4F35-8749-E00F59EDEEF5}" type="CATEGORYNAME">
                      <a:rPr lang="en-US">
                        <a:solidFill>
                          <a:schemeClr val="tx1"/>
                        </a:solidFill>
                      </a:rPr>
                      <a:pPr>
                        <a:defRPr spc="0">
                          <a:solidFill>
                            <a:schemeClr val="accent1"/>
                          </a:solidFill>
                        </a:defRPr>
                      </a:pPr>
                      <a:t>[CATEGORY NAME]</a:t>
                    </a:fld>
                    <a:r>
                      <a:rPr lang="en-US" baseline="0">
                        <a:solidFill>
                          <a:schemeClr val="tx1"/>
                        </a:solidFill>
                      </a:rPr>
                      <a:t>
</a:t>
                    </a:r>
                    <a:fld id="{2689DE70-0278-45DC-841C-013381C2BD4D}" type="PERCENTAGE">
                      <a:rPr lang="en-US" baseline="0">
                        <a:solidFill>
                          <a:schemeClr val="tx1"/>
                        </a:solidFill>
                      </a:rPr>
                      <a:pPr>
                        <a:defRPr spc="0">
                          <a:solidFill>
                            <a:schemeClr val="accent1"/>
                          </a:solidFill>
                        </a:defRPr>
                      </a:pPr>
                      <a:t>[PERCENTAGE]</a:t>
                    </a:fld>
                    <a:endParaRPr lang="en-US" baseline="0">
                      <a:solidFill>
                        <a:schemeClr val="tx1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D899-4603-9F4E-A0EF82424D9B}"/>
                </c:ext>
              </c:extLst>
            </c:dLbl>
            <c:dLbl>
              <c:idx val="2"/>
              <c:tx>
                <c:rich>
                  <a:bodyPr rot="0" spcFirstLastPara="1" vertOverflow="overflow" horzOverflow="overflow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99DF491-3A0E-4752-9332-84BBEDA5B26B}" type="CATEGORYNAME">
                      <a:rPr lang="en-US">
                        <a:solidFill>
                          <a:schemeClr val="tx1"/>
                        </a:solidFill>
                      </a:rPr>
                      <a:pPr>
                        <a:defRPr spc="0">
                          <a:solidFill>
                            <a:schemeClr val="accent1"/>
                          </a:solidFill>
                        </a:defRPr>
                      </a:pPr>
                      <a:t>[CATEGORY NAME]</a:t>
                    </a:fld>
                    <a:r>
                      <a:rPr lang="en-US" baseline="0"/>
                      <a:t>
</a:t>
                    </a:r>
                    <a:fld id="{E0320C11-06DB-49C5-9A1D-E212D14F84F3}" type="PERCENTAGE">
                      <a:rPr lang="en-US" baseline="0">
                        <a:solidFill>
                          <a:schemeClr val="tx1"/>
                        </a:solidFill>
                      </a:rPr>
                      <a:pPr>
                        <a:defRPr spc="0">
                          <a:solidFill>
                            <a:schemeClr val="accent1"/>
                          </a:solidFill>
                        </a:defRPr>
                      </a:pPr>
                      <a:t>[PERCENTAGE]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D899-4603-9F4E-A0EF82424D9B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D899-4603-9F4E-A0EF82424D9B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D899-4603-9F4E-A0EF82424D9B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6-D899-4603-9F4E-A0EF82424D9B}"/>
                </c:ext>
              </c:extLst>
            </c:dLbl>
            <c:dLbl>
              <c:idx val="6"/>
              <c:tx>
                <c:rich>
                  <a:bodyPr rot="0" spcFirstLastPara="1" vertOverflow="overflow" horzOverflow="overflow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A708A4E-B452-44A7-BCA8-689781EDC649}" type="CATEGORYNAME">
                      <a:rPr lang="en-US">
                        <a:solidFill>
                          <a:schemeClr val="tx1"/>
                        </a:solidFill>
                      </a:rPr>
                      <a:pPr>
                        <a:defRPr spc="0">
                          <a:solidFill>
                            <a:schemeClr val="accent1"/>
                          </a:solidFill>
                        </a:defRPr>
                      </a:pPr>
                      <a:t>[CATEGORY NAME]</a:t>
                    </a:fld>
                    <a:r>
                      <a:rPr lang="en-US" baseline="0">
                        <a:solidFill>
                          <a:schemeClr val="tx1"/>
                        </a:solidFill>
                      </a:rPr>
                      <a:t>
</a:t>
                    </a:r>
                    <a:fld id="{1CC6D3C7-71B1-4B20-ACC2-0ADA53BA8D4E}" type="PERCENTAGE">
                      <a:rPr lang="en-US" baseline="0">
                        <a:solidFill>
                          <a:schemeClr val="tx1"/>
                        </a:solidFill>
                      </a:rPr>
                      <a:pPr>
                        <a:defRPr spc="0">
                          <a:solidFill>
                            <a:schemeClr val="accent1"/>
                          </a:solidFill>
                        </a:defRPr>
                      </a:pPr>
                      <a:t>[PERCENTAGE]</a:t>
                    </a:fld>
                    <a:endParaRPr lang="en-US" baseline="0">
                      <a:solidFill>
                        <a:schemeClr val="tx1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D899-4603-9F4E-A0EF82424D9B}"/>
                </c:ext>
              </c:extLst>
            </c:dLbl>
            <c:dLbl>
              <c:idx val="7"/>
              <c:tx>
                <c:rich>
                  <a:bodyPr rot="0" spcFirstLastPara="1" vertOverflow="overflow" horzOverflow="overflow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2A0628E-C3E7-44D9-A1FC-B82C13D9D94B}" type="CATEGORYNAME">
                      <a:rPr lang="en-US">
                        <a:solidFill>
                          <a:schemeClr val="tx1"/>
                        </a:solidFill>
                      </a:rPr>
                      <a:pPr>
                        <a:defRPr spc="0">
                          <a:solidFill>
                            <a:schemeClr val="accent1"/>
                          </a:solidFill>
                        </a:defRPr>
                      </a:pPr>
                      <a:t>[CATEGORY NAME]</a:t>
                    </a:fld>
                    <a:r>
                      <a:rPr lang="en-US" baseline="0">
                        <a:solidFill>
                          <a:schemeClr val="tx1"/>
                        </a:solidFill>
                      </a:rPr>
                      <a:t>
</a:t>
                    </a:r>
                    <a:fld id="{804B0168-12FA-4412-9A47-C64AD40857E6}" type="PERCENTAGE">
                      <a:rPr lang="en-US" baseline="0">
                        <a:solidFill>
                          <a:schemeClr val="tx1"/>
                        </a:solidFill>
                      </a:rPr>
                      <a:pPr>
                        <a:defRPr spc="0">
                          <a:solidFill>
                            <a:schemeClr val="accent1"/>
                          </a:solidFill>
                        </a:defRPr>
                      </a:pPr>
                      <a:t>[PERCENTAGE]</a:t>
                    </a:fld>
                    <a:endParaRPr lang="en-US" baseline="0">
                      <a:solidFill>
                        <a:schemeClr val="tx1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D899-4603-9F4E-A0EF82424D9B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9-D899-4603-9F4E-A0EF82424D9B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A-D899-4603-9F4E-A0EF82424D9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rgbClr val="156082"/>
                </a:solidFill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Summary!$A$22:$A$31</c:f>
              <c:strCache>
                <c:ptCount val="10"/>
                <c:pt idx="0">
                  <c:v>Rent</c:v>
                </c:pt>
                <c:pt idx="1">
                  <c:v>Food</c:v>
                </c:pt>
                <c:pt idx="2">
                  <c:v>Transport</c:v>
                </c:pt>
                <c:pt idx="3">
                  <c:v>Utilities</c:v>
                </c:pt>
                <c:pt idx="4">
                  <c:v>Data</c:v>
                </c:pt>
                <c:pt idx="5">
                  <c:v>Entertainment</c:v>
                </c:pt>
                <c:pt idx="6">
                  <c:v>Investment</c:v>
                </c:pt>
                <c:pt idx="7">
                  <c:v>Parents</c:v>
                </c:pt>
                <c:pt idx="8">
                  <c:v>Savings</c:v>
                </c:pt>
                <c:pt idx="9">
                  <c:v>Others</c:v>
                </c:pt>
              </c:strCache>
            </c:strRef>
          </c:cat>
          <c:val>
            <c:numRef>
              <c:f>Summary!$B$22:$B$31</c:f>
              <c:numCache>
                <c:formatCode>General</c:formatCode>
                <c:ptCount val="10"/>
                <c:pt idx="0">
                  <c:v>30000</c:v>
                </c:pt>
                <c:pt idx="1">
                  <c:v>50000</c:v>
                </c:pt>
                <c:pt idx="2">
                  <c:v>45000</c:v>
                </c:pt>
                <c:pt idx="3">
                  <c:v>0</c:v>
                </c:pt>
                <c:pt idx="4">
                  <c:v>2000</c:v>
                </c:pt>
                <c:pt idx="5">
                  <c:v>4500</c:v>
                </c:pt>
                <c:pt idx="6">
                  <c:v>10000</c:v>
                </c:pt>
                <c:pt idx="7">
                  <c:v>10000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99-4603-9F4E-A0EF82424D9B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</a:t>
            </a:r>
            <a:r>
              <a:rPr lang="en-US" baseline="0"/>
              <a:t>/Budget per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Summary!$B$1</c:f>
              <c:strCache>
                <c:ptCount val="1"/>
                <c:pt idx="0">
                  <c:v>Actual expenses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Summary!$A$2:$A$11</c:f>
              <c:strCache>
                <c:ptCount val="5"/>
                <c:pt idx="0">
                  <c:v>Food</c:v>
                </c:pt>
                <c:pt idx="1">
                  <c:v>Utilities</c:v>
                </c:pt>
                <c:pt idx="2">
                  <c:v>Data</c:v>
                </c:pt>
                <c:pt idx="3">
                  <c:v>Entertainment</c:v>
                </c:pt>
                <c:pt idx="4">
                  <c:v>Others</c:v>
                </c:pt>
              </c:strCache>
            </c:strRef>
          </c:cat>
          <c:val>
            <c:numRef>
              <c:f>Summary!$B$2:$B$11</c:f>
              <c:numCache>
                <c:formatCode>_-[$₦-470]* #,##0_-;\-[$₦-470]* #,##0_-;_-[$₦-470]* "-"_-;_-@_-</c:formatCode>
                <c:ptCount val="5"/>
                <c:pt idx="0">
                  <c:v>70860</c:v>
                </c:pt>
                <c:pt idx="1">
                  <c:v>27700</c:v>
                </c:pt>
                <c:pt idx="2">
                  <c:v>17200</c:v>
                </c:pt>
                <c:pt idx="3">
                  <c:v>20000</c:v>
                </c:pt>
                <c:pt idx="4">
                  <c:v>43500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7C-4A6A-8826-5FA21A4CCFD6}"/>
            </c:ext>
          </c:extLst>
        </c:ser>
        <c:ser>
          <c:idx val="1"/>
          <c:order val="1"/>
          <c:tx>
            <c:strRef>
              <c:f>Summary!$C$1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Summary!$A$2:$A$11</c:f>
              <c:strCache>
                <c:ptCount val="5"/>
                <c:pt idx="0">
                  <c:v>Food</c:v>
                </c:pt>
                <c:pt idx="1">
                  <c:v>Utilities</c:v>
                </c:pt>
                <c:pt idx="2">
                  <c:v>Data</c:v>
                </c:pt>
                <c:pt idx="3">
                  <c:v>Entertainment</c:v>
                </c:pt>
                <c:pt idx="4">
                  <c:v>Others</c:v>
                </c:pt>
              </c:strCache>
            </c:strRef>
          </c:cat>
          <c:val>
            <c:numRef>
              <c:f>Summary!$C$2:$C$11</c:f>
              <c:numCache>
                <c:formatCode>_-[$₦-470]* #,##0_-;\-[$₦-470]* #,##0_-;_-[$₦-470]* "-"??_-;_-@_-</c:formatCode>
                <c:ptCount val="5"/>
                <c:pt idx="0">
                  <c:v>50000</c:v>
                </c:pt>
                <c:pt idx="1">
                  <c:v>0</c:v>
                </c:pt>
                <c:pt idx="2">
                  <c:v>2000</c:v>
                </c:pt>
                <c:pt idx="3">
                  <c:v>4500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7C-4A6A-8826-5FA21A4CC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3397680"/>
        <c:axId val="1683399600"/>
      </c:barChart>
      <c:catAx>
        <c:axId val="1683397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9600"/>
        <c:crosses val="autoZero"/>
        <c:auto val="1"/>
        <c:lblAlgn val="ctr"/>
        <c:lblOffset val="100"/>
        <c:noMultiLvlLbl val="0"/>
      </c:catAx>
      <c:valAx>
        <c:axId val="168339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₦-470]* #,##0_-;\-[$₦-470]* #,##0_-;_-[$₦-470]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7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438150</xdr:colOff>
      <xdr:row>25</xdr:row>
      <xdr:rowOff>28575</xdr:rowOff>
    </xdr:from>
    <xdr:to>
      <xdr:col>17</xdr:col>
      <xdr:colOff>911679</xdr:colOff>
      <xdr:row>41</xdr:row>
      <xdr:rowOff>13607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005CDA-AA6B-4C46-A8D6-14EB1AC571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171450</xdr:rowOff>
    </xdr:from>
    <xdr:to>
      <xdr:col>8</xdr:col>
      <xdr:colOff>428625</xdr:colOff>
      <xdr:row>41</xdr:row>
      <xdr:rowOff>13607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3339A9-887F-47CE-9886-A5B93CB264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438151</xdr:colOff>
      <xdr:row>1</xdr:row>
      <xdr:rowOff>9525</xdr:rowOff>
    </xdr:from>
    <xdr:to>
      <xdr:col>17</xdr:col>
      <xdr:colOff>925286</xdr:colOff>
      <xdr:row>25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3A906FC-3086-450D-8C02-6C995629F9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</xdr:row>
      <xdr:rowOff>27214</xdr:rowOff>
    </xdr:from>
    <xdr:to>
      <xdr:col>8</xdr:col>
      <xdr:colOff>421822</xdr:colOff>
      <xdr:row>25</xdr:row>
      <xdr:rowOff>4763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ED8F89F-FD3A-40B5-8319-D43868C41A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54428</xdr:colOff>
      <xdr:row>1</xdr:row>
      <xdr:rowOff>1</xdr:rowOff>
    </xdr:from>
    <xdr:to>
      <xdr:col>26</xdr:col>
      <xdr:colOff>585108</xdr:colOff>
      <xdr:row>25</xdr:row>
      <xdr:rowOff>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58C0BA-3A14-4F22-AF1A-4523787AC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</xdr:colOff>
      <xdr:row>1</xdr:row>
      <xdr:rowOff>185737</xdr:rowOff>
    </xdr:from>
    <xdr:to>
      <xdr:col>12</xdr:col>
      <xdr:colOff>309562</xdr:colOff>
      <xdr:row>16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105CE8-7AD3-2A0F-BD39-03AD24E0C5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423862</xdr:colOff>
      <xdr:row>1</xdr:row>
      <xdr:rowOff>128587</xdr:rowOff>
    </xdr:from>
    <xdr:to>
      <xdr:col>20</xdr:col>
      <xdr:colOff>119062</xdr:colOff>
      <xdr:row>16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B88083-7CF3-D85F-30E9-CFFFD5F040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547686</xdr:colOff>
      <xdr:row>6</xdr:row>
      <xdr:rowOff>9524</xdr:rowOff>
    </xdr:from>
    <xdr:to>
      <xdr:col>17</xdr:col>
      <xdr:colOff>342900</xdr:colOff>
      <xdr:row>30</xdr:row>
      <xdr:rowOff>19049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4E248C8-B517-73A6-A871-D187C8F538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790575</xdr:colOff>
      <xdr:row>16</xdr:row>
      <xdr:rowOff>52386</xdr:rowOff>
    </xdr:from>
    <xdr:to>
      <xdr:col>12</xdr:col>
      <xdr:colOff>361950</xdr:colOff>
      <xdr:row>40</xdr:row>
      <xdr:rowOff>57149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6149065-9D25-A5BA-E8C7-82968B2531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495300</xdr:colOff>
      <xdr:row>2</xdr:row>
      <xdr:rowOff>128587</xdr:rowOff>
    </xdr:from>
    <xdr:to>
      <xdr:col>12</xdr:col>
      <xdr:colOff>190500</xdr:colOff>
      <xdr:row>17</xdr:row>
      <xdr:rowOff>14287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C7CEE86-7CF9-3FB1-D83D-46AB8448F1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55.756315393519" createdVersion="8" refreshedVersion="8" minRefreshableVersion="3" recordCount="68" xr:uid="{4FCE7D84-59AC-40F1-8C2B-FB37841389DE}">
  <cacheSource type="worksheet">
    <worksheetSource ref="A1:E68" sheet="Transaction"/>
  </cacheSource>
  <cacheFields count="5">
    <cacheField name="Date" numFmtId="14">
      <sharedItems containsDate="1" containsMixedTypes="1" minDate="2025-02-01T00:00:00" maxDate="2026-12-02T00:00:00"/>
    </cacheField>
    <cacheField name="Description" numFmtId="0">
      <sharedItems/>
    </cacheField>
    <cacheField name="Category" numFmtId="0">
      <sharedItems count="9">
        <s v="Others"/>
        <s v="Food"/>
        <s v="Utilities"/>
        <s v="Rent"/>
        <s v="Transport"/>
        <s v="Entertainment"/>
        <s v="Parents"/>
        <s v="Data"/>
        <s v="Investment"/>
      </sharedItems>
    </cacheField>
    <cacheField name="Type" numFmtId="0">
      <sharedItems count="2">
        <s v="Income"/>
        <s v="Expense"/>
      </sharedItems>
    </cacheField>
    <cacheField name="Amount" numFmtId="165">
      <sharedItems containsSemiMixedTypes="0" containsString="0" containsNumber="1" containsInteger="1" minValue="200" maxValue="2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s v="19/12/2025"/>
    <s v="Salary"/>
    <x v="0"/>
    <x v="0"/>
    <n v="200000"/>
  </r>
  <r>
    <s v="19/12/2025"/>
    <s v="Food payment"/>
    <x v="1"/>
    <x v="1"/>
    <n v="1560"/>
  </r>
  <r>
    <s v="19/12/2026"/>
    <s v="Barbing"/>
    <x v="2"/>
    <x v="1"/>
    <n v="1000"/>
  </r>
  <r>
    <s v="21/12/2025"/>
    <s v="Rent Payment"/>
    <x v="3"/>
    <x v="1"/>
    <n v="30000"/>
  </r>
  <r>
    <s v="21/12/2025"/>
    <s v="Food payment"/>
    <x v="1"/>
    <x v="1"/>
    <n v="2000"/>
  </r>
  <r>
    <s v="21/12/2025"/>
    <s v="Dash(Chinaza)"/>
    <x v="0"/>
    <x v="1"/>
    <n v="10000"/>
  </r>
  <r>
    <s v="21/12/2025"/>
    <s v="Withdrawal"/>
    <x v="4"/>
    <x v="1"/>
    <n v="10000"/>
  </r>
  <r>
    <s v="21/12/2025"/>
    <s v="Food payment"/>
    <x v="1"/>
    <x v="1"/>
    <n v="2300"/>
  </r>
  <r>
    <s v="21/12/2025"/>
    <s v="Food payment"/>
    <x v="1"/>
    <x v="1"/>
    <n v="6000"/>
  </r>
  <r>
    <s v="21/12/2025"/>
    <s v="Food payment"/>
    <x v="1"/>
    <x v="1"/>
    <n v="2600"/>
  </r>
  <r>
    <s v="21/12/2025"/>
    <s v="Food payment"/>
    <x v="1"/>
    <x v="0"/>
    <n v="5800"/>
  </r>
  <r>
    <s v="21/12/2025"/>
    <s v="Food payment"/>
    <x v="1"/>
    <x v="1"/>
    <n v="3000"/>
  </r>
  <r>
    <s v="21/12/2025"/>
    <s v="Food payment"/>
    <x v="1"/>
    <x v="0"/>
    <n v="2500"/>
  </r>
  <r>
    <s v="21/12/2025"/>
    <s v="Outing"/>
    <x v="5"/>
    <x v="1"/>
    <n v="20000"/>
  </r>
  <r>
    <s v="22/12/2025"/>
    <s v="Groceries(Food ingredients)"/>
    <x v="1"/>
    <x v="1"/>
    <n v="1500"/>
  </r>
  <r>
    <s v="24/12/2025"/>
    <s v="Bonus salary"/>
    <x v="0"/>
    <x v="0"/>
    <n v="50000"/>
  </r>
  <r>
    <s v="25/12/2025"/>
    <s v="Dash(Chinaza)"/>
    <x v="0"/>
    <x v="1"/>
    <n v="10000"/>
  </r>
  <r>
    <s v="25/12/2025"/>
    <s v="Dash(Chinaza)"/>
    <x v="0"/>
    <x v="1"/>
    <n v="1000"/>
  </r>
  <r>
    <s v="25/12/2025"/>
    <s v="Parents"/>
    <x v="6"/>
    <x v="1"/>
    <n v="5000"/>
  </r>
  <r>
    <s v="25/12/2025"/>
    <s v="Parents"/>
    <x v="6"/>
    <x v="1"/>
    <n v="5000"/>
  </r>
  <r>
    <s v="28/12/2025"/>
    <s v="Dash(Chinaza)"/>
    <x v="0"/>
    <x v="1"/>
    <n v="6000"/>
  </r>
  <r>
    <s v="28/12/2025"/>
    <s v="Food payment"/>
    <x v="1"/>
    <x v="1"/>
    <n v="3500"/>
  </r>
  <r>
    <s v="29/12/2025"/>
    <s v="Withdrawal"/>
    <x v="2"/>
    <x v="1"/>
    <n v="3000"/>
  </r>
  <r>
    <s v="29/12/2025"/>
    <s v="Food payment"/>
    <x v="1"/>
    <x v="1"/>
    <n v="2400"/>
  </r>
  <r>
    <s v="29/12/2025"/>
    <s v="Dash(Naiemi)"/>
    <x v="0"/>
    <x v="1"/>
    <n v="5000"/>
  </r>
  <r>
    <s v="29/12/2025"/>
    <s v="Food payment"/>
    <x v="1"/>
    <x v="1"/>
    <n v="3000"/>
  </r>
  <r>
    <s v="29/12/2025"/>
    <s v="Cream"/>
    <x v="2"/>
    <x v="1"/>
    <n v="1200"/>
  </r>
  <r>
    <s v="30/12/2025"/>
    <s v="Dash(Chinaza)"/>
    <x v="0"/>
    <x v="1"/>
    <n v="2500"/>
  </r>
  <r>
    <s v="30/12/2025"/>
    <s v="Food payment"/>
    <x v="1"/>
    <x v="1"/>
    <n v="1400"/>
  </r>
  <r>
    <s v="31/12/2025"/>
    <s v="Food payment"/>
    <x v="1"/>
    <x v="1"/>
    <n v="2600"/>
  </r>
  <r>
    <s v="31/12/2025"/>
    <s v="Withdrawal"/>
    <x v="4"/>
    <x v="1"/>
    <n v="5000"/>
  </r>
  <r>
    <s v="31/12/2025"/>
    <s v="Food payment"/>
    <x v="1"/>
    <x v="1"/>
    <n v="2300"/>
  </r>
  <r>
    <s v="31/12/2025"/>
    <s v="Laptop Charger"/>
    <x v="2"/>
    <x v="1"/>
    <n v="20000"/>
  </r>
  <r>
    <s v="31/12/2025"/>
    <s v="Food payment"/>
    <x v="1"/>
    <x v="1"/>
    <n v="3200"/>
  </r>
  <r>
    <s v="31/12/2025"/>
    <s v="airtime"/>
    <x v="7"/>
    <x v="1"/>
    <n v="3500"/>
  </r>
  <r>
    <s v="31/12/2025"/>
    <s v="airtime"/>
    <x v="7"/>
    <x v="1"/>
    <n v="1500"/>
  </r>
  <r>
    <d v="2026-01-01T00:00:00"/>
    <s v="airtime"/>
    <x v="7"/>
    <x v="1"/>
    <n v="1000"/>
  </r>
  <r>
    <d v="2026-02-01T00:00:00"/>
    <s v="Food payment"/>
    <x v="1"/>
    <x v="1"/>
    <n v="2100"/>
  </r>
  <r>
    <d v="2025-02-01T00:00:00"/>
    <s v="Dash(Chinaza)"/>
    <x v="0"/>
    <x v="1"/>
    <n v="5000"/>
  </r>
  <r>
    <d v="2026-02-01T00:00:00"/>
    <s v="Barbing"/>
    <x v="2"/>
    <x v="1"/>
    <n v="1500"/>
  </r>
  <r>
    <d v="2026-04-01T00:00:00"/>
    <s v="Food payment"/>
    <x v="1"/>
    <x v="1"/>
    <n v="2200"/>
  </r>
  <r>
    <d v="2026-04-01T00:00:00"/>
    <s v="Dash(Chinaza)"/>
    <x v="0"/>
    <x v="1"/>
    <n v="4000"/>
  </r>
  <r>
    <d v="2026-04-01T00:00:00"/>
    <s v="Food payment"/>
    <x v="1"/>
    <x v="1"/>
    <n v="4200"/>
  </r>
  <r>
    <d v="2026-04-01T00:00:00"/>
    <s v="airtime"/>
    <x v="7"/>
    <x v="1"/>
    <n v="6000"/>
  </r>
  <r>
    <d v="2026-04-01T00:00:00"/>
    <s v="Food payment"/>
    <x v="1"/>
    <x v="1"/>
    <n v="2200"/>
  </r>
  <r>
    <d v="2026-05-01T00:00:00"/>
    <s v="Food payment"/>
    <x v="1"/>
    <x v="1"/>
    <n v="1000"/>
  </r>
  <r>
    <d v="2026-05-01T00:00:00"/>
    <s v="Key duplicate"/>
    <x v="2"/>
    <x v="1"/>
    <n v="2000"/>
  </r>
  <r>
    <d v="2026-05-01T00:00:00"/>
    <s v="Withdrawal"/>
    <x v="4"/>
    <x v="1"/>
    <n v="5200"/>
  </r>
  <r>
    <d v="2026-07-01T00:00:00"/>
    <s v="Withdrawal"/>
    <x v="4"/>
    <x v="1"/>
    <n v="4200"/>
  </r>
  <r>
    <d v="2026-07-01T00:00:00"/>
    <s v="airtime"/>
    <x v="7"/>
    <x v="1"/>
    <n v="5000"/>
  </r>
  <r>
    <d v="2026-07-01T00:00:00"/>
    <s v="Withdrawal"/>
    <x v="4"/>
    <x v="1"/>
    <n v="5100"/>
  </r>
  <r>
    <d v="2026-08-01T00:00:00"/>
    <s v="Food payment"/>
    <x v="1"/>
    <x v="1"/>
    <n v="2900"/>
  </r>
  <r>
    <d v="2026-08-01T00:00:00"/>
    <s v="Food payment"/>
    <x v="1"/>
    <x v="1"/>
    <n v="2700"/>
  </r>
  <r>
    <d v="2026-08-01T00:00:00"/>
    <s v="Food payment"/>
    <x v="1"/>
    <x v="1"/>
    <n v="1200"/>
  </r>
  <r>
    <d v="2026-09-01T00:00:00"/>
    <s v="Food payment"/>
    <x v="1"/>
    <x v="1"/>
    <n v="1100"/>
  </r>
  <r>
    <d v="2026-09-01T00:00:00"/>
    <s v="Food payment"/>
    <x v="1"/>
    <x v="1"/>
    <n v="1300"/>
  </r>
  <r>
    <d v="2026-09-01T00:00:00"/>
    <s v="Food payment"/>
    <x v="1"/>
    <x v="0"/>
    <n v="10000"/>
  </r>
  <r>
    <d v="2026-09-01T00:00:00"/>
    <s v="Withdrawal"/>
    <x v="0"/>
    <x v="1"/>
    <n v="10000"/>
  </r>
  <r>
    <d v="2026-11-01T00:00:00"/>
    <s v="Food payment"/>
    <x v="1"/>
    <x v="1"/>
    <n v="3500"/>
  </r>
  <r>
    <d v="2026-12-01T00:00:00"/>
    <s v="Food payment"/>
    <x v="1"/>
    <x v="1"/>
    <n v="4800"/>
  </r>
  <r>
    <s v="13/1/2026"/>
    <s v="Micellaneous"/>
    <x v="0"/>
    <x v="0"/>
    <n v="2000"/>
  </r>
  <r>
    <s v="13/1/2026"/>
    <s v="Food payment"/>
    <x v="1"/>
    <x v="1"/>
    <n v="1600"/>
  </r>
  <r>
    <s v="13/1/2026"/>
    <s v="Food payment"/>
    <x v="1"/>
    <x v="1"/>
    <n v="1100"/>
  </r>
  <r>
    <s v="14/1/2026"/>
    <s v="Investment"/>
    <x v="8"/>
    <x v="1"/>
    <n v="5000"/>
  </r>
  <r>
    <s v="14/1/2026"/>
    <s v="Food payment"/>
    <x v="1"/>
    <x v="1"/>
    <n v="1600"/>
  </r>
  <r>
    <s v="14/1/2026"/>
    <s v="Withdrawal"/>
    <x v="4"/>
    <x v="1"/>
    <n v="2100"/>
  </r>
  <r>
    <s v="22/1/2026"/>
    <s v="airtime"/>
    <x v="7"/>
    <x v="1"/>
    <n v="200"/>
  </r>
  <r>
    <s v="26/1/2026"/>
    <s v="Salary"/>
    <x v="0"/>
    <x v="0"/>
    <n v="20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E7192D-708C-4583-9F3B-2915809ACF4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 rowPageCount="1" colPageCount="1"/>
  <pivotFields count="5">
    <pivotField showAll="0"/>
    <pivotField showAll="0"/>
    <pivotField axis="axisRow" showAll="0">
      <items count="10">
        <item x="7"/>
        <item x="5"/>
        <item x="1"/>
        <item x="8"/>
        <item x="0"/>
        <item x="6"/>
        <item x="3"/>
        <item x="4"/>
        <item x="2"/>
        <item t="default"/>
      </items>
    </pivotField>
    <pivotField axis="axisPage" showAll="0">
      <items count="3">
        <item x="1"/>
        <item x="0"/>
        <item t="default"/>
      </items>
    </pivotField>
    <pivotField dataField="1" numFmtId="165"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3" hier="-1"/>
  </pageFields>
  <dataFields count="1">
    <dataField name="Sum of Amount" fld="4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AEE3E-6B71-4C9D-BB04-C7F67189BCFD}">
  <dimension ref="A1:B11"/>
  <sheetViews>
    <sheetView workbookViewId="0">
      <selection activeCell="B16" sqref="B16"/>
    </sheetView>
  </sheetViews>
  <sheetFormatPr defaultRowHeight="15" x14ac:dyDescent="0.25"/>
  <cols>
    <col min="1" max="1" width="13.42578125" bestFit="1" customWidth="1"/>
    <col min="2" max="2" width="19.42578125" customWidth="1"/>
  </cols>
  <sheetData>
    <row r="1" spans="1:2" x14ac:dyDescent="0.25">
      <c r="A1" t="s">
        <v>0</v>
      </c>
      <c r="B1" t="s">
        <v>9</v>
      </c>
    </row>
    <row r="2" spans="1:2" x14ac:dyDescent="0.25">
      <c r="A2" t="s">
        <v>1</v>
      </c>
      <c r="B2" s="2">
        <v>30000</v>
      </c>
    </row>
    <row r="3" spans="1:2" x14ac:dyDescent="0.25">
      <c r="A3" t="s">
        <v>2</v>
      </c>
      <c r="B3" s="2">
        <v>50000</v>
      </c>
    </row>
    <row r="4" spans="1:2" x14ac:dyDescent="0.25">
      <c r="A4" t="s">
        <v>3</v>
      </c>
      <c r="B4" s="2">
        <v>45000</v>
      </c>
    </row>
    <row r="5" spans="1:2" x14ac:dyDescent="0.25">
      <c r="A5" t="s">
        <v>4</v>
      </c>
      <c r="B5" s="1" t="s">
        <v>12</v>
      </c>
    </row>
    <row r="6" spans="1:2" x14ac:dyDescent="0.25">
      <c r="A6" t="s">
        <v>5</v>
      </c>
      <c r="B6" s="2">
        <v>2000</v>
      </c>
    </row>
    <row r="7" spans="1:2" x14ac:dyDescent="0.25">
      <c r="A7" t="s">
        <v>6</v>
      </c>
      <c r="B7" s="2">
        <v>4500</v>
      </c>
    </row>
    <row r="8" spans="1:2" x14ac:dyDescent="0.25">
      <c r="A8" t="s">
        <v>10</v>
      </c>
      <c r="B8" s="2">
        <v>10000</v>
      </c>
    </row>
    <row r="9" spans="1:2" x14ac:dyDescent="0.25">
      <c r="A9" t="s">
        <v>11</v>
      </c>
      <c r="B9" s="2">
        <v>10000</v>
      </c>
    </row>
    <row r="10" spans="1:2" x14ac:dyDescent="0.25">
      <c r="A10" t="s">
        <v>7</v>
      </c>
      <c r="B10" s="2">
        <v>0</v>
      </c>
    </row>
    <row r="11" spans="1:2" x14ac:dyDescent="0.25">
      <c r="A11" t="s">
        <v>8</v>
      </c>
      <c r="B11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3886D-26AE-4BD6-9C8E-45BC2E186204}">
  <dimension ref="A1:B13"/>
  <sheetViews>
    <sheetView workbookViewId="0">
      <selection activeCell="E10" sqref="E10"/>
    </sheetView>
  </sheetViews>
  <sheetFormatPr defaultRowHeight="15" x14ac:dyDescent="0.25"/>
  <cols>
    <col min="1" max="1" width="13.42578125" bestFit="1" customWidth="1"/>
    <col min="2" max="2" width="14.85546875" bestFit="1" customWidth="1"/>
  </cols>
  <sheetData>
    <row r="1" spans="1:2" x14ac:dyDescent="0.25">
      <c r="A1" s="5" t="s">
        <v>15</v>
      </c>
      <c r="B1" t="s">
        <v>53</v>
      </c>
    </row>
    <row r="3" spans="1:2" x14ac:dyDescent="0.25">
      <c r="A3" s="5" t="s">
        <v>50</v>
      </c>
      <c r="B3" t="s">
        <v>52</v>
      </c>
    </row>
    <row r="4" spans="1:2" x14ac:dyDescent="0.25">
      <c r="A4" s="6" t="s">
        <v>5</v>
      </c>
      <c r="B4" s="2">
        <v>17200</v>
      </c>
    </row>
    <row r="5" spans="1:2" x14ac:dyDescent="0.25">
      <c r="A5" s="6" t="s">
        <v>6</v>
      </c>
      <c r="B5" s="2">
        <v>20000</v>
      </c>
    </row>
    <row r="6" spans="1:2" x14ac:dyDescent="0.25">
      <c r="A6" s="6" t="s">
        <v>2</v>
      </c>
      <c r="B6" s="2">
        <v>89160</v>
      </c>
    </row>
    <row r="7" spans="1:2" x14ac:dyDescent="0.25">
      <c r="A7" s="6" t="s">
        <v>10</v>
      </c>
      <c r="B7" s="2">
        <v>5000</v>
      </c>
    </row>
    <row r="8" spans="1:2" x14ac:dyDescent="0.25">
      <c r="A8" s="6" t="s">
        <v>8</v>
      </c>
      <c r="B8" s="2">
        <v>325600</v>
      </c>
    </row>
    <row r="9" spans="1:2" x14ac:dyDescent="0.25">
      <c r="A9" s="6" t="s">
        <v>11</v>
      </c>
      <c r="B9" s="2">
        <v>10000</v>
      </c>
    </row>
    <row r="10" spans="1:2" x14ac:dyDescent="0.25">
      <c r="A10" s="6" t="s">
        <v>1</v>
      </c>
      <c r="B10" s="2">
        <v>30000</v>
      </c>
    </row>
    <row r="11" spans="1:2" x14ac:dyDescent="0.25">
      <c r="A11" s="6" t="s">
        <v>3</v>
      </c>
      <c r="B11" s="2">
        <v>31600</v>
      </c>
    </row>
    <row r="12" spans="1:2" x14ac:dyDescent="0.25">
      <c r="A12" s="6" t="s">
        <v>4</v>
      </c>
      <c r="B12" s="2">
        <v>28700</v>
      </c>
    </row>
    <row r="13" spans="1:2" x14ac:dyDescent="0.25">
      <c r="A13" s="6" t="s">
        <v>51</v>
      </c>
      <c r="B13" s="2">
        <v>557260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0ABE5-51D8-4C38-8776-E9DEE3417F37}">
  <dimension ref="A1:AM140"/>
  <sheetViews>
    <sheetView showGridLines="0" tabSelected="1" topLeftCell="A10" zoomScale="50" zoomScaleNormal="50" workbookViewId="0">
      <selection activeCell="AE38" sqref="AE38"/>
    </sheetView>
  </sheetViews>
  <sheetFormatPr defaultRowHeight="15" x14ac:dyDescent="0.25"/>
  <cols>
    <col min="1" max="1" width="15.7109375" customWidth="1"/>
    <col min="2" max="2" width="12.7109375" bestFit="1" customWidth="1"/>
    <col min="18" max="18" width="15.28515625" customWidth="1"/>
    <col min="19" max="19" width="13.42578125" customWidth="1"/>
    <col min="20" max="20" width="15.85546875" customWidth="1"/>
    <col min="22" max="22" width="15.7109375" customWidth="1"/>
    <col min="23" max="23" width="20.42578125" customWidth="1"/>
  </cols>
  <sheetData>
    <row r="1" spans="1:39" ht="46.5" customHeight="1" x14ac:dyDescent="0.25">
      <c r="A1" s="9" t="s">
        <v>54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</row>
    <row r="2" spans="1:39" x14ac:dyDescent="0.25"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</row>
    <row r="3" spans="1:39" x14ac:dyDescent="0.25">
      <c r="B3" s="8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</row>
    <row r="4" spans="1:39" x14ac:dyDescent="0.25">
      <c r="B4" s="8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</row>
    <row r="5" spans="1:39" x14ac:dyDescent="0.25">
      <c r="B5" s="8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</row>
    <row r="6" spans="1:39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</row>
    <row r="7" spans="1:39" x14ac:dyDescent="0.25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</row>
    <row r="8" spans="1:39" x14ac:dyDescent="0.2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</row>
    <row r="9" spans="1:39" x14ac:dyDescent="0.2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</row>
    <row r="10" spans="1:39" x14ac:dyDescent="0.2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</row>
    <row r="11" spans="1:39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</row>
    <row r="12" spans="1:39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</row>
    <row r="13" spans="1:39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</row>
    <row r="14" spans="1:39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</row>
    <row r="15" spans="1:39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</row>
    <row r="16" spans="1:39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</row>
    <row r="17" spans="2:39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</row>
    <row r="18" spans="2:39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</row>
    <row r="19" spans="2:39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</row>
    <row r="20" spans="2:39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</row>
    <row r="21" spans="2:39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</row>
    <row r="22" spans="2:39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</row>
    <row r="23" spans="2:39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</row>
    <row r="24" spans="2:39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</row>
    <row r="25" spans="2:39" ht="15.75" thickBot="1" x14ac:dyDescent="0.3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</row>
    <row r="26" spans="2:39" x14ac:dyDescent="0.2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10"/>
      <c r="T26" s="11"/>
      <c r="U26" s="11"/>
      <c r="V26" s="11"/>
      <c r="W26" s="11"/>
      <c r="X26" s="11"/>
      <c r="Y26" s="11"/>
      <c r="Z26" s="11"/>
      <c r="AA26" s="12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</row>
    <row r="27" spans="2:39" x14ac:dyDescent="0.2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13"/>
      <c r="T27" s="14"/>
      <c r="U27" s="14"/>
      <c r="V27" s="14"/>
      <c r="W27" s="14"/>
      <c r="X27" s="14"/>
      <c r="Y27" s="14"/>
      <c r="Z27" s="14"/>
      <c r="AA27" s="15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</row>
    <row r="28" spans="2:39" x14ac:dyDescent="0.2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13"/>
      <c r="T28" s="14"/>
      <c r="U28" s="14"/>
      <c r="V28" s="14"/>
      <c r="W28" s="14"/>
      <c r="X28" s="14"/>
      <c r="Y28" s="14"/>
      <c r="Z28" s="14"/>
      <c r="AA28" s="15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</row>
    <row r="29" spans="2:39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13"/>
      <c r="T29" s="14"/>
      <c r="U29" s="14"/>
      <c r="V29" s="14"/>
      <c r="W29" s="14"/>
      <c r="X29" s="14"/>
      <c r="Y29" s="14"/>
      <c r="Z29" s="14"/>
      <c r="AA29" s="15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</row>
    <row r="30" spans="2:39" ht="15" customHeight="1" x14ac:dyDescent="0.2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13"/>
      <c r="T30" s="16" t="s">
        <v>58</v>
      </c>
      <c r="U30" s="16"/>
      <c r="V30" s="17">
        <f>Summary!B18</f>
        <v>3440</v>
      </c>
      <c r="W30" s="17"/>
      <c r="X30" s="14"/>
      <c r="Y30" s="14"/>
      <c r="Z30" s="14"/>
      <c r="AA30" s="15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</row>
    <row r="31" spans="2:39" ht="15" customHeight="1" x14ac:dyDescent="0.2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13"/>
      <c r="T31" s="16"/>
      <c r="U31" s="16"/>
      <c r="V31" s="17"/>
      <c r="W31" s="17"/>
      <c r="X31" s="14"/>
      <c r="Y31" s="14"/>
      <c r="Z31" s="14"/>
      <c r="AA31" s="15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</row>
    <row r="32" spans="2:39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13"/>
      <c r="T32" s="14"/>
      <c r="U32" s="14"/>
      <c r="V32" s="14"/>
      <c r="W32" s="14"/>
      <c r="X32" s="14"/>
      <c r="Y32" s="14"/>
      <c r="Z32" s="14"/>
      <c r="AA32" s="15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</row>
    <row r="33" spans="2:39" ht="15.75" thickBot="1" x14ac:dyDescent="0.3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18"/>
      <c r="T33" s="19"/>
      <c r="U33" s="19"/>
      <c r="V33" s="19"/>
      <c r="W33" s="19"/>
      <c r="X33" s="19"/>
      <c r="Y33" s="19"/>
      <c r="Z33" s="19"/>
      <c r="AA33" s="20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</row>
    <row r="34" spans="2:39" ht="15.75" thickBot="1" x14ac:dyDescent="0.3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10"/>
      <c r="T34" s="11"/>
      <c r="U34" s="11"/>
      <c r="V34" s="11"/>
      <c r="W34" s="11"/>
      <c r="X34" s="11"/>
      <c r="Y34" s="11"/>
      <c r="Z34" s="11"/>
      <c r="AA34" s="12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</row>
    <row r="35" spans="2:39" ht="15.75" thickBot="1" x14ac:dyDescent="0.3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26" t="s">
        <v>59</v>
      </c>
      <c r="T35" s="21"/>
      <c r="U35" s="14"/>
      <c r="V35" s="26" t="s">
        <v>61</v>
      </c>
      <c r="W35" s="21"/>
      <c r="X35" s="14"/>
      <c r="Y35" s="14"/>
      <c r="Z35" s="14"/>
      <c r="AA35" s="15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</row>
    <row r="36" spans="2:39" x14ac:dyDescent="0.2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22" t="s">
        <v>0</v>
      </c>
      <c r="T36" s="22" t="s">
        <v>60</v>
      </c>
      <c r="U36" s="14"/>
      <c r="V36" s="22" t="s">
        <v>0</v>
      </c>
      <c r="W36" s="22" t="s">
        <v>62</v>
      </c>
      <c r="X36" s="14"/>
      <c r="Y36" s="14"/>
      <c r="Z36" s="14"/>
      <c r="AA36" s="15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</row>
    <row r="37" spans="2:39" x14ac:dyDescent="0.2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22" t="s">
        <v>3</v>
      </c>
      <c r="T37" s="23">
        <v>13400</v>
      </c>
      <c r="U37" s="14"/>
      <c r="V37" s="22" t="s">
        <v>2</v>
      </c>
      <c r="W37" s="27">
        <v>-20860</v>
      </c>
      <c r="X37" s="14"/>
      <c r="Y37" s="14"/>
      <c r="Z37" s="14"/>
      <c r="AA37" s="15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</row>
    <row r="38" spans="2:39" ht="15.75" thickBot="1" x14ac:dyDescent="0.3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24" t="s">
        <v>10</v>
      </c>
      <c r="T38" s="25">
        <v>5000</v>
      </c>
      <c r="U38" s="14"/>
      <c r="V38" s="22" t="s">
        <v>4</v>
      </c>
      <c r="W38" s="27">
        <v>-27700</v>
      </c>
      <c r="X38" s="14"/>
      <c r="Y38" s="14"/>
      <c r="Z38" s="14"/>
      <c r="AA38" s="15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</row>
    <row r="39" spans="2:39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13"/>
      <c r="T39" s="14"/>
      <c r="U39" s="14"/>
      <c r="V39" s="22" t="s">
        <v>5</v>
      </c>
      <c r="W39" s="27">
        <v>-15200</v>
      </c>
      <c r="X39" s="14"/>
      <c r="Y39" s="14"/>
      <c r="Z39" s="14"/>
      <c r="AA39" s="15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</row>
    <row r="40" spans="2:39" x14ac:dyDescent="0.2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13"/>
      <c r="T40" s="14"/>
      <c r="U40" s="14"/>
      <c r="V40" s="22" t="s">
        <v>6</v>
      </c>
      <c r="W40" s="27">
        <v>-15500</v>
      </c>
      <c r="X40" s="14"/>
      <c r="Y40" s="14"/>
      <c r="Z40" s="14"/>
      <c r="AA40" s="15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</row>
    <row r="41" spans="2:39" ht="15.75" thickBot="1" x14ac:dyDescent="0.3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18"/>
      <c r="T41" s="19"/>
      <c r="U41" s="19"/>
      <c r="V41" s="24" t="s">
        <v>8</v>
      </c>
      <c r="W41" s="28">
        <v>-43500</v>
      </c>
      <c r="X41" s="19"/>
      <c r="Y41" s="19"/>
      <c r="Z41" s="19"/>
      <c r="AA41" s="20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</row>
    <row r="42" spans="2:39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</row>
    <row r="43" spans="2:39" x14ac:dyDescent="0.2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</row>
    <row r="44" spans="2:39" x14ac:dyDescent="0.2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</row>
    <row r="45" spans="2:39" x14ac:dyDescent="0.2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</row>
    <row r="46" spans="2:39" x14ac:dyDescent="0.2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</row>
    <row r="47" spans="2:39" x14ac:dyDescent="0.2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</row>
    <row r="48" spans="2:39" x14ac:dyDescent="0.2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</row>
    <row r="49" spans="2:39" x14ac:dyDescent="0.2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</row>
    <row r="50" spans="2:39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</row>
    <row r="51" spans="2:39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</row>
    <row r="52" spans="2:39" x14ac:dyDescent="0.2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</row>
    <row r="53" spans="2:39" x14ac:dyDescent="0.2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</row>
    <row r="54" spans="2:39" x14ac:dyDescent="0.2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</row>
    <row r="55" spans="2:39" x14ac:dyDescent="0.2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</row>
    <row r="56" spans="2:39" x14ac:dyDescent="0.2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</row>
    <row r="57" spans="2:39" x14ac:dyDescent="0.2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</row>
    <row r="58" spans="2:39" x14ac:dyDescent="0.2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</row>
    <row r="59" spans="2:39" x14ac:dyDescent="0.2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</row>
    <row r="60" spans="2:39" x14ac:dyDescent="0.2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</row>
    <row r="61" spans="2:39" x14ac:dyDescent="0.2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</row>
    <row r="62" spans="2:39" x14ac:dyDescent="0.2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</row>
    <row r="63" spans="2:39" x14ac:dyDescent="0.2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</row>
    <row r="64" spans="2:39" x14ac:dyDescent="0.2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</row>
    <row r="65" spans="2:39" x14ac:dyDescent="0.2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</row>
    <row r="66" spans="2:39" x14ac:dyDescent="0.2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</row>
    <row r="67" spans="2:39" x14ac:dyDescent="0.2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</row>
    <row r="68" spans="2:39" x14ac:dyDescent="0.2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</row>
    <row r="69" spans="2:39" x14ac:dyDescent="0.2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</row>
    <row r="70" spans="2:39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</row>
    <row r="71" spans="2:39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</row>
    <row r="72" spans="2:39" x14ac:dyDescent="0.2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</row>
    <row r="73" spans="2:39" x14ac:dyDescent="0.25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</row>
    <row r="74" spans="2:39" x14ac:dyDescent="0.25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</row>
    <row r="75" spans="2:39" x14ac:dyDescent="0.25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</row>
    <row r="76" spans="2:39" x14ac:dyDescent="0.25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</row>
    <row r="77" spans="2:39" x14ac:dyDescent="0.2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</row>
    <row r="78" spans="2:39" x14ac:dyDescent="0.2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</row>
    <row r="79" spans="2:39" x14ac:dyDescent="0.25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</row>
    <row r="80" spans="2:39" x14ac:dyDescent="0.25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</row>
    <row r="81" spans="2:39" x14ac:dyDescent="0.25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</row>
    <row r="82" spans="2:39" x14ac:dyDescent="0.25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</row>
    <row r="83" spans="2:39" x14ac:dyDescent="0.2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</row>
    <row r="84" spans="2:39" x14ac:dyDescent="0.25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</row>
    <row r="85" spans="2:39" x14ac:dyDescent="0.2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</row>
    <row r="86" spans="2:39" x14ac:dyDescent="0.2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</row>
    <row r="87" spans="2:39" x14ac:dyDescent="0.2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</row>
    <row r="88" spans="2:39" x14ac:dyDescent="0.25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</row>
    <row r="89" spans="2:39" x14ac:dyDescent="0.25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</row>
    <row r="90" spans="2:39" x14ac:dyDescent="0.25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</row>
    <row r="91" spans="2:39" x14ac:dyDescent="0.25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</row>
    <row r="92" spans="2:39" x14ac:dyDescent="0.25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</row>
    <row r="93" spans="2:39" x14ac:dyDescent="0.25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</row>
    <row r="94" spans="2:39" x14ac:dyDescent="0.25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</row>
    <row r="95" spans="2:39" x14ac:dyDescent="0.2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</row>
    <row r="96" spans="2:39" x14ac:dyDescent="0.2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</row>
    <row r="97" spans="2:39" x14ac:dyDescent="0.25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</row>
    <row r="98" spans="2:39" x14ac:dyDescent="0.25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</row>
    <row r="99" spans="2:39" x14ac:dyDescent="0.25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</row>
    <row r="100" spans="2:39" x14ac:dyDescent="0.25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</row>
    <row r="101" spans="2:39" x14ac:dyDescent="0.25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</row>
    <row r="102" spans="2:39" x14ac:dyDescent="0.25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</row>
    <row r="103" spans="2:39" x14ac:dyDescent="0.25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</row>
    <row r="104" spans="2:39" x14ac:dyDescent="0.2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</row>
    <row r="105" spans="2:39" x14ac:dyDescent="0.2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</row>
    <row r="106" spans="2:39" x14ac:dyDescent="0.25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</row>
    <row r="107" spans="2:39" x14ac:dyDescent="0.25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</row>
    <row r="108" spans="2:39" x14ac:dyDescent="0.25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</row>
    <row r="109" spans="2:39" x14ac:dyDescent="0.2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</row>
    <row r="110" spans="2:39" x14ac:dyDescent="0.25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</row>
    <row r="111" spans="2:39" x14ac:dyDescent="0.25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</row>
    <row r="112" spans="2:39" x14ac:dyDescent="0.25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</row>
    <row r="113" spans="2:39" x14ac:dyDescent="0.2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</row>
    <row r="114" spans="2:39" x14ac:dyDescent="0.2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</row>
    <row r="115" spans="2:39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</row>
    <row r="116" spans="2:39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</row>
    <row r="117" spans="2:39" x14ac:dyDescent="0.25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</row>
    <row r="118" spans="2:39" x14ac:dyDescent="0.25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</row>
    <row r="119" spans="2:39" x14ac:dyDescent="0.25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</row>
    <row r="120" spans="2:39" x14ac:dyDescent="0.25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</row>
    <row r="121" spans="2:39" x14ac:dyDescent="0.25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</row>
    <row r="122" spans="2:39" x14ac:dyDescent="0.2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</row>
    <row r="123" spans="2:39" x14ac:dyDescent="0.25"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</row>
    <row r="124" spans="2:39" x14ac:dyDescent="0.25"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</row>
    <row r="125" spans="2:39" x14ac:dyDescent="0.25"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</row>
    <row r="126" spans="2:39" x14ac:dyDescent="0.25"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</row>
    <row r="127" spans="2:39" x14ac:dyDescent="0.25"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</row>
    <row r="128" spans="2:39" x14ac:dyDescent="0.25"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</row>
    <row r="129" spans="8:39" x14ac:dyDescent="0.25"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</row>
    <row r="130" spans="8:39" x14ac:dyDescent="0.25"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</row>
    <row r="131" spans="8:39" x14ac:dyDescent="0.25"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</row>
    <row r="132" spans="8:39" x14ac:dyDescent="0.25"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</row>
    <row r="133" spans="8:39" x14ac:dyDescent="0.25"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</row>
    <row r="134" spans="8:39" x14ac:dyDescent="0.25"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</row>
    <row r="135" spans="8:39" x14ac:dyDescent="0.25"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</row>
    <row r="136" spans="8:39" x14ac:dyDescent="0.25"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</row>
    <row r="137" spans="8:39" x14ac:dyDescent="0.25"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</row>
    <row r="138" spans="8:39" x14ac:dyDescent="0.25"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</row>
    <row r="139" spans="8:39" x14ac:dyDescent="0.25"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</row>
    <row r="140" spans="8:39" x14ac:dyDescent="0.25"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</row>
  </sheetData>
  <mergeCells count="3">
    <mergeCell ref="T30:U31"/>
    <mergeCell ref="V30:W31"/>
    <mergeCell ref="A1:AA1"/>
  </mergeCells>
  <conditionalFormatting sqref="V30:W31">
    <cfRule type="cellIs" dxfId="5" priority="1" operator="equal">
      <formula>0</formula>
    </cfRule>
    <cfRule type="cellIs" dxfId="4" priority="2" operator="lessThan">
      <formula>0</formula>
    </cfRule>
    <cfRule type="cellIs" dxfId="3" priority="3" operator="greaterThan">
      <formula>0</formula>
    </cfRule>
  </conditionalFormatting>
  <pageMargins left="0.25" right="0.25" top="0.75" bottom="0.75" header="0.3" footer="0.3"/>
  <pageSetup scale="4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497F9-2AC8-4585-976F-1AEA9266381C}">
  <dimension ref="A1:E68"/>
  <sheetViews>
    <sheetView topLeftCell="A11" workbookViewId="0">
      <selection activeCell="A69" sqref="A69:XFD69"/>
    </sheetView>
  </sheetViews>
  <sheetFormatPr defaultRowHeight="15" x14ac:dyDescent="0.25"/>
  <cols>
    <col min="1" max="1" width="10.42578125" bestFit="1" customWidth="1"/>
    <col min="2" max="2" width="26.140625" bestFit="1" customWidth="1"/>
    <col min="3" max="3" width="13.42578125" bestFit="1" customWidth="1"/>
    <col min="4" max="4" width="8.140625" bestFit="1" customWidth="1"/>
    <col min="5" max="5" width="13.85546875" style="2" bestFit="1" customWidth="1"/>
  </cols>
  <sheetData>
    <row r="1" spans="1:5" x14ac:dyDescent="0.25">
      <c r="A1" t="s">
        <v>13</v>
      </c>
      <c r="B1" t="s">
        <v>14</v>
      </c>
      <c r="C1" t="s">
        <v>0</v>
      </c>
      <c r="D1" t="s">
        <v>15</v>
      </c>
      <c r="E1" s="2" t="s">
        <v>16</v>
      </c>
    </row>
    <row r="2" spans="1:5" x14ac:dyDescent="0.25">
      <c r="A2" s="3" t="s">
        <v>17</v>
      </c>
      <c r="B2" t="s">
        <v>22</v>
      </c>
      <c r="C2" t="s">
        <v>8</v>
      </c>
      <c r="D2" t="s">
        <v>23</v>
      </c>
      <c r="E2" s="2">
        <v>200000</v>
      </c>
    </row>
    <row r="3" spans="1:5" x14ac:dyDescent="0.25">
      <c r="A3" s="3" t="s">
        <v>17</v>
      </c>
      <c r="B3" t="s">
        <v>18</v>
      </c>
      <c r="C3" t="s">
        <v>2</v>
      </c>
      <c r="D3" t="s">
        <v>19</v>
      </c>
      <c r="E3" s="2">
        <v>1560</v>
      </c>
    </row>
    <row r="4" spans="1:5" x14ac:dyDescent="0.25">
      <c r="A4" s="3" t="s">
        <v>20</v>
      </c>
      <c r="B4" t="s">
        <v>21</v>
      </c>
      <c r="C4" t="s">
        <v>4</v>
      </c>
      <c r="D4" t="s">
        <v>19</v>
      </c>
      <c r="E4" s="2">
        <v>1000</v>
      </c>
    </row>
    <row r="5" spans="1:5" x14ac:dyDescent="0.25">
      <c r="A5" s="3" t="s">
        <v>24</v>
      </c>
      <c r="B5" t="s">
        <v>25</v>
      </c>
      <c r="C5" t="s">
        <v>1</v>
      </c>
      <c r="D5" t="s">
        <v>19</v>
      </c>
      <c r="E5" s="2">
        <v>30000</v>
      </c>
    </row>
    <row r="6" spans="1:5" x14ac:dyDescent="0.25">
      <c r="A6" s="3" t="s">
        <v>24</v>
      </c>
      <c r="B6" t="s">
        <v>18</v>
      </c>
      <c r="C6" t="s">
        <v>2</v>
      </c>
      <c r="D6" t="s">
        <v>19</v>
      </c>
      <c r="E6" s="2">
        <v>2000</v>
      </c>
    </row>
    <row r="7" spans="1:5" x14ac:dyDescent="0.25">
      <c r="A7" s="3" t="s">
        <v>24</v>
      </c>
      <c r="B7" t="s">
        <v>39</v>
      </c>
      <c r="C7" t="s">
        <v>8</v>
      </c>
      <c r="D7" t="s">
        <v>19</v>
      </c>
      <c r="E7" s="2">
        <v>10000</v>
      </c>
    </row>
    <row r="8" spans="1:5" x14ac:dyDescent="0.25">
      <c r="A8" s="3" t="s">
        <v>24</v>
      </c>
      <c r="B8" t="s">
        <v>26</v>
      </c>
      <c r="C8" t="s">
        <v>3</v>
      </c>
      <c r="D8" t="s">
        <v>19</v>
      </c>
      <c r="E8" s="2">
        <v>10000</v>
      </c>
    </row>
    <row r="9" spans="1:5" x14ac:dyDescent="0.25">
      <c r="A9" s="3" t="s">
        <v>24</v>
      </c>
      <c r="B9" t="s">
        <v>18</v>
      </c>
      <c r="C9" t="s">
        <v>2</v>
      </c>
      <c r="D9" t="s">
        <v>19</v>
      </c>
      <c r="E9" s="2">
        <v>2300</v>
      </c>
    </row>
    <row r="10" spans="1:5" x14ac:dyDescent="0.25">
      <c r="A10" s="3" t="s">
        <v>24</v>
      </c>
      <c r="B10" t="s">
        <v>18</v>
      </c>
      <c r="C10" t="s">
        <v>2</v>
      </c>
      <c r="D10" t="s">
        <v>19</v>
      </c>
      <c r="E10" s="2">
        <v>6000</v>
      </c>
    </row>
    <row r="11" spans="1:5" x14ac:dyDescent="0.25">
      <c r="A11" s="3" t="s">
        <v>24</v>
      </c>
      <c r="B11" t="s">
        <v>18</v>
      </c>
      <c r="C11" t="s">
        <v>2</v>
      </c>
      <c r="D11" t="s">
        <v>19</v>
      </c>
      <c r="E11" s="2">
        <v>2600</v>
      </c>
    </row>
    <row r="12" spans="1:5" x14ac:dyDescent="0.25">
      <c r="A12" s="3" t="s">
        <v>24</v>
      </c>
      <c r="B12" t="s">
        <v>18</v>
      </c>
      <c r="C12" t="s">
        <v>2</v>
      </c>
      <c r="D12" t="s">
        <v>23</v>
      </c>
      <c r="E12" s="2">
        <v>5800</v>
      </c>
    </row>
    <row r="13" spans="1:5" x14ac:dyDescent="0.25">
      <c r="A13" s="3" t="s">
        <v>24</v>
      </c>
      <c r="B13" t="s">
        <v>18</v>
      </c>
      <c r="C13" t="s">
        <v>2</v>
      </c>
      <c r="D13" t="s">
        <v>19</v>
      </c>
      <c r="E13" s="2">
        <v>3000</v>
      </c>
    </row>
    <row r="14" spans="1:5" x14ac:dyDescent="0.25">
      <c r="A14" s="3" t="s">
        <v>24</v>
      </c>
      <c r="B14" t="s">
        <v>18</v>
      </c>
      <c r="C14" t="s">
        <v>2</v>
      </c>
      <c r="D14" t="s">
        <v>23</v>
      </c>
      <c r="E14" s="2">
        <v>2500</v>
      </c>
    </row>
    <row r="15" spans="1:5" x14ac:dyDescent="0.25">
      <c r="A15" s="3" t="s">
        <v>24</v>
      </c>
      <c r="B15" t="s">
        <v>27</v>
      </c>
      <c r="C15" t="s">
        <v>6</v>
      </c>
      <c r="D15" t="s">
        <v>19</v>
      </c>
      <c r="E15" s="2">
        <v>20000</v>
      </c>
    </row>
    <row r="16" spans="1:5" x14ac:dyDescent="0.25">
      <c r="A16" s="3" t="s">
        <v>28</v>
      </c>
      <c r="B16" t="s">
        <v>41</v>
      </c>
      <c r="C16" t="s">
        <v>2</v>
      </c>
      <c r="D16" t="s">
        <v>19</v>
      </c>
      <c r="E16" s="2">
        <v>1500</v>
      </c>
    </row>
    <row r="17" spans="1:5" x14ac:dyDescent="0.25">
      <c r="A17" s="3" t="s">
        <v>31</v>
      </c>
      <c r="B17" t="s">
        <v>29</v>
      </c>
      <c r="C17" t="s">
        <v>8</v>
      </c>
      <c r="D17" t="s">
        <v>23</v>
      </c>
      <c r="E17" s="2">
        <v>50000</v>
      </c>
    </row>
    <row r="18" spans="1:5" x14ac:dyDescent="0.25">
      <c r="A18" s="3" t="s">
        <v>30</v>
      </c>
      <c r="B18" t="s">
        <v>39</v>
      </c>
      <c r="C18" t="s">
        <v>8</v>
      </c>
      <c r="D18" t="s">
        <v>19</v>
      </c>
      <c r="E18" s="2">
        <v>10000</v>
      </c>
    </row>
    <row r="19" spans="1:5" x14ac:dyDescent="0.25">
      <c r="A19" s="3" t="s">
        <v>30</v>
      </c>
      <c r="B19" t="s">
        <v>39</v>
      </c>
      <c r="C19" t="s">
        <v>8</v>
      </c>
      <c r="D19" t="s">
        <v>19</v>
      </c>
      <c r="E19" s="2">
        <v>1000</v>
      </c>
    </row>
    <row r="20" spans="1:5" x14ac:dyDescent="0.25">
      <c r="A20" s="3" t="s">
        <v>30</v>
      </c>
      <c r="B20" t="s">
        <v>11</v>
      </c>
      <c r="C20" t="s">
        <v>11</v>
      </c>
      <c r="D20" t="s">
        <v>19</v>
      </c>
      <c r="E20" s="2">
        <v>5000</v>
      </c>
    </row>
    <row r="21" spans="1:5" x14ac:dyDescent="0.25">
      <c r="A21" s="3" t="s">
        <v>30</v>
      </c>
      <c r="B21" t="s">
        <v>11</v>
      </c>
      <c r="C21" t="s">
        <v>11</v>
      </c>
      <c r="D21" t="s">
        <v>19</v>
      </c>
      <c r="E21" s="2">
        <v>5000</v>
      </c>
    </row>
    <row r="22" spans="1:5" x14ac:dyDescent="0.25">
      <c r="A22" s="3" t="s">
        <v>32</v>
      </c>
      <c r="B22" t="s">
        <v>39</v>
      </c>
      <c r="C22" t="s">
        <v>8</v>
      </c>
      <c r="D22" t="s">
        <v>19</v>
      </c>
      <c r="E22" s="2">
        <v>6000</v>
      </c>
    </row>
    <row r="23" spans="1:5" x14ac:dyDescent="0.25">
      <c r="A23" s="3" t="s">
        <v>32</v>
      </c>
      <c r="B23" t="s">
        <v>18</v>
      </c>
      <c r="C23" t="s">
        <v>2</v>
      </c>
      <c r="D23" t="s">
        <v>19</v>
      </c>
      <c r="E23" s="2">
        <v>3500</v>
      </c>
    </row>
    <row r="24" spans="1:5" x14ac:dyDescent="0.25">
      <c r="A24" s="3" t="s">
        <v>33</v>
      </c>
      <c r="B24" t="s">
        <v>26</v>
      </c>
      <c r="C24" t="s">
        <v>4</v>
      </c>
      <c r="D24" t="s">
        <v>19</v>
      </c>
      <c r="E24" s="2">
        <v>3000</v>
      </c>
    </row>
    <row r="25" spans="1:5" x14ac:dyDescent="0.25">
      <c r="A25" s="3" t="s">
        <v>33</v>
      </c>
      <c r="B25" t="s">
        <v>18</v>
      </c>
      <c r="C25" t="s">
        <v>2</v>
      </c>
      <c r="D25" t="s">
        <v>19</v>
      </c>
      <c r="E25" s="2">
        <v>2400</v>
      </c>
    </row>
    <row r="26" spans="1:5" x14ac:dyDescent="0.25">
      <c r="A26" s="3" t="s">
        <v>33</v>
      </c>
      <c r="B26" t="s">
        <v>40</v>
      </c>
      <c r="C26" t="s">
        <v>8</v>
      </c>
      <c r="D26" t="s">
        <v>19</v>
      </c>
      <c r="E26" s="2">
        <v>5000</v>
      </c>
    </row>
    <row r="27" spans="1:5" x14ac:dyDescent="0.25">
      <c r="A27" s="3" t="s">
        <v>33</v>
      </c>
      <c r="B27" t="s">
        <v>18</v>
      </c>
      <c r="C27" t="s">
        <v>2</v>
      </c>
      <c r="D27" t="s">
        <v>19</v>
      </c>
      <c r="E27" s="2">
        <v>3000</v>
      </c>
    </row>
    <row r="28" spans="1:5" x14ac:dyDescent="0.25">
      <c r="A28" s="3" t="s">
        <v>33</v>
      </c>
      <c r="B28" t="s">
        <v>34</v>
      </c>
      <c r="C28" t="s">
        <v>4</v>
      </c>
      <c r="D28" t="s">
        <v>19</v>
      </c>
      <c r="E28" s="2">
        <v>1200</v>
      </c>
    </row>
    <row r="29" spans="1:5" x14ac:dyDescent="0.25">
      <c r="A29" s="3" t="s">
        <v>35</v>
      </c>
      <c r="B29" t="s">
        <v>39</v>
      </c>
      <c r="C29" t="s">
        <v>8</v>
      </c>
      <c r="D29" t="s">
        <v>19</v>
      </c>
      <c r="E29" s="2">
        <v>2500</v>
      </c>
    </row>
    <row r="30" spans="1:5" x14ac:dyDescent="0.25">
      <c r="A30" s="3" t="s">
        <v>35</v>
      </c>
      <c r="B30" t="s">
        <v>18</v>
      </c>
      <c r="C30" t="s">
        <v>2</v>
      </c>
      <c r="D30" t="s">
        <v>19</v>
      </c>
      <c r="E30" s="2">
        <v>1400</v>
      </c>
    </row>
    <row r="31" spans="1:5" x14ac:dyDescent="0.25">
      <c r="A31" s="3" t="s">
        <v>36</v>
      </c>
      <c r="B31" t="s">
        <v>18</v>
      </c>
      <c r="C31" t="s">
        <v>2</v>
      </c>
      <c r="D31" t="s">
        <v>19</v>
      </c>
      <c r="E31" s="2">
        <v>2600</v>
      </c>
    </row>
    <row r="32" spans="1:5" x14ac:dyDescent="0.25">
      <c r="A32" s="3" t="s">
        <v>36</v>
      </c>
      <c r="B32" t="s">
        <v>26</v>
      </c>
      <c r="C32" t="s">
        <v>3</v>
      </c>
      <c r="D32" t="s">
        <v>19</v>
      </c>
      <c r="E32" s="2">
        <v>5000</v>
      </c>
    </row>
    <row r="33" spans="1:5" x14ac:dyDescent="0.25">
      <c r="A33" s="3" t="s">
        <v>36</v>
      </c>
      <c r="B33" t="s">
        <v>18</v>
      </c>
      <c r="C33" t="s">
        <v>2</v>
      </c>
      <c r="D33" t="s">
        <v>19</v>
      </c>
      <c r="E33" s="2">
        <v>2300</v>
      </c>
    </row>
    <row r="34" spans="1:5" x14ac:dyDescent="0.25">
      <c r="A34" s="3" t="s">
        <v>36</v>
      </c>
      <c r="B34" t="s">
        <v>37</v>
      </c>
      <c r="C34" t="s">
        <v>4</v>
      </c>
      <c r="D34" t="s">
        <v>19</v>
      </c>
      <c r="E34" s="2">
        <v>20000</v>
      </c>
    </row>
    <row r="35" spans="1:5" x14ac:dyDescent="0.25">
      <c r="A35" s="3" t="s">
        <v>36</v>
      </c>
      <c r="B35" t="s">
        <v>18</v>
      </c>
      <c r="C35" t="s">
        <v>2</v>
      </c>
      <c r="D35" t="s">
        <v>19</v>
      </c>
      <c r="E35" s="2">
        <v>3200</v>
      </c>
    </row>
    <row r="36" spans="1:5" x14ac:dyDescent="0.25">
      <c r="A36" s="3" t="s">
        <v>36</v>
      </c>
      <c r="B36" t="s">
        <v>38</v>
      </c>
      <c r="C36" t="s">
        <v>5</v>
      </c>
      <c r="D36" t="s">
        <v>19</v>
      </c>
      <c r="E36" s="2">
        <v>3500</v>
      </c>
    </row>
    <row r="37" spans="1:5" x14ac:dyDescent="0.25">
      <c r="A37" s="3" t="s">
        <v>36</v>
      </c>
      <c r="B37" t="s">
        <v>38</v>
      </c>
      <c r="C37" t="s">
        <v>5</v>
      </c>
      <c r="D37" t="s">
        <v>19</v>
      </c>
      <c r="E37" s="2">
        <v>1500</v>
      </c>
    </row>
    <row r="38" spans="1:5" x14ac:dyDescent="0.25">
      <c r="A38" s="3">
        <v>46023</v>
      </c>
      <c r="B38" t="s">
        <v>38</v>
      </c>
      <c r="C38" t="s">
        <v>5</v>
      </c>
      <c r="D38" t="s">
        <v>19</v>
      </c>
      <c r="E38" s="2">
        <v>1000</v>
      </c>
    </row>
    <row r="39" spans="1:5" x14ac:dyDescent="0.25">
      <c r="A39" s="3">
        <v>46054</v>
      </c>
      <c r="B39" t="s">
        <v>18</v>
      </c>
      <c r="C39" t="s">
        <v>2</v>
      </c>
      <c r="D39" t="s">
        <v>19</v>
      </c>
      <c r="E39" s="2">
        <v>2100</v>
      </c>
    </row>
    <row r="40" spans="1:5" x14ac:dyDescent="0.25">
      <c r="A40" s="3">
        <v>45689</v>
      </c>
      <c r="B40" t="s">
        <v>39</v>
      </c>
      <c r="C40" t="s">
        <v>8</v>
      </c>
      <c r="D40" t="s">
        <v>19</v>
      </c>
      <c r="E40" s="2">
        <v>5000</v>
      </c>
    </row>
    <row r="41" spans="1:5" x14ac:dyDescent="0.25">
      <c r="A41" s="3">
        <v>46054</v>
      </c>
      <c r="B41" t="s">
        <v>21</v>
      </c>
      <c r="C41" t="s">
        <v>4</v>
      </c>
      <c r="D41" t="s">
        <v>19</v>
      </c>
      <c r="E41" s="2">
        <v>1500</v>
      </c>
    </row>
    <row r="42" spans="1:5" x14ac:dyDescent="0.25">
      <c r="A42" s="3">
        <v>46113</v>
      </c>
      <c r="B42" t="s">
        <v>18</v>
      </c>
      <c r="C42" t="s">
        <v>2</v>
      </c>
      <c r="D42" t="s">
        <v>19</v>
      </c>
      <c r="E42" s="2">
        <v>2200</v>
      </c>
    </row>
    <row r="43" spans="1:5" x14ac:dyDescent="0.25">
      <c r="A43" s="3">
        <v>46113</v>
      </c>
      <c r="B43" t="s">
        <v>39</v>
      </c>
      <c r="C43" t="s">
        <v>8</v>
      </c>
      <c r="D43" t="s">
        <v>19</v>
      </c>
      <c r="E43" s="2">
        <v>4000</v>
      </c>
    </row>
    <row r="44" spans="1:5" x14ac:dyDescent="0.25">
      <c r="A44" s="3">
        <v>46113</v>
      </c>
      <c r="B44" t="s">
        <v>18</v>
      </c>
      <c r="C44" t="s">
        <v>2</v>
      </c>
      <c r="D44" t="s">
        <v>19</v>
      </c>
      <c r="E44" s="2">
        <v>4200</v>
      </c>
    </row>
    <row r="45" spans="1:5" x14ac:dyDescent="0.25">
      <c r="A45" s="3">
        <v>46113</v>
      </c>
      <c r="B45" t="s">
        <v>38</v>
      </c>
      <c r="C45" t="s">
        <v>5</v>
      </c>
      <c r="D45" t="s">
        <v>19</v>
      </c>
      <c r="E45" s="2">
        <v>6000</v>
      </c>
    </row>
    <row r="46" spans="1:5" x14ac:dyDescent="0.25">
      <c r="A46" s="3">
        <v>46113</v>
      </c>
      <c r="B46" t="s">
        <v>18</v>
      </c>
      <c r="C46" t="s">
        <v>2</v>
      </c>
      <c r="D46" t="s">
        <v>19</v>
      </c>
      <c r="E46" s="2">
        <v>2200</v>
      </c>
    </row>
    <row r="47" spans="1:5" x14ac:dyDescent="0.25">
      <c r="A47" s="3">
        <v>46143</v>
      </c>
      <c r="B47" t="s">
        <v>18</v>
      </c>
      <c r="C47" t="s">
        <v>2</v>
      </c>
      <c r="D47" t="s">
        <v>19</v>
      </c>
      <c r="E47" s="2">
        <v>1000</v>
      </c>
    </row>
    <row r="48" spans="1:5" x14ac:dyDescent="0.25">
      <c r="A48" s="3">
        <v>46143</v>
      </c>
      <c r="B48" t="s">
        <v>42</v>
      </c>
      <c r="C48" t="s">
        <v>4</v>
      </c>
      <c r="D48" t="s">
        <v>19</v>
      </c>
      <c r="E48" s="2">
        <v>2000</v>
      </c>
    </row>
    <row r="49" spans="1:5" x14ac:dyDescent="0.25">
      <c r="A49" s="3">
        <v>46143</v>
      </c>
      <c r="B49" t="s">
        <v>26</v>
      </c>
      <c r="C49" t="s">
        <v>3</v>
      </c>
      <c r="D49" t="s">
        <v>19</v>
      </c>
      <c r="E49" s="2">
        <v>5200</v>
      </c>
    </row>
    <row r="50" spans="1:5" x14ac:dyDescent="0.25">
      <c r="A50" s="3">
        <v>46204</v>
      </c>
      <c r="B50" t="s">
        <v>26</v>
      </c>
      <c r="C50" t="s">
        <v>3</v>
      </c>
      <c r="D50" t="s">
        <v>19</v>
      </c>
      <c r="E50" s="2">
        <v>4200</v>
      </c>
    </row>
    <row r="51" spans="1:5" x14ac:dyDescent="0.25">
      <c r="A51" s="3">
        <v>46204</v>
      </c>
      <c r="B51" t="s">
        <v>38</v>
      </c>
      <c r="C51" t="s">
        <v>5</v>
      </c>
      <c r="D51" t="s">
        <v>19</v>
      </c>
      <c r="E51" s="2">
        <v>5000</v>
      </c>
    </row>
    <row r="52" spans="1:5" x14ac:dyDescent="0.25">
      <c r="A52" s="3">
        <v>46204</v>
      </c>
      <c r="B52" t="s">
        <v>26</v>
      </c>
      <c r="C52" t="s">
        <v>3</v>
      </c>
      <c r="D52" t="s">
        <v>19</v>
      </c>
      <c r="E52" s="2">
        <v>5100</v>
      </c>
    </row>
    <row r="53" spans="1:5" x14ac:dyDescent="0.25">
      <c r="A53" s="3">
        <v>46235</v>
      </c>
      <c r="B53" t="s">
        <v>18</v>
      </c>
      <c r="C53" t="s">
        <v>2</v>
      </c>
      <c r="D53" t="s">
        <v>19</v>
      </c>
      <c r="E53" s="2">
        <v>2900</v>
      </c>
    </row>
    <row r="54" spans="1:5" x14ac:dyDescent="0.25">
      <c r="A54" s="3">
        <v>46235</v>
      </c>
      <c r="B54" t="s">
        <v>18</v>
      </c>
      <c r="C54" t="s">
        <v>2</v>
      </c>
      <c r="D54" t="s">
        <v>19</v>
      </c>
      <c r="E54" s="2">
        <v>2700</v>
      </c>
    </row>
    <row r="55" spans="1:5" x14ac:dyDescent="0.25">
      <c r="A55" s="3">
        <v>46235</v>
      </c>
      <c r="B55" t="s">
        <v>18</v>
      </c>
      <c r="C55" t="s">
        <v>2</v>
      </c>
      <c r="D55" t="s">
        <v>19</v>
      </c>
      <c r="E55" s="2">
        <v>1200</v>
      </c>
    </row>
    <row r="56" spans="1:5" x14ac:dyDescent="0.25">
      <c r="A56" s="3">
        <v>46266</v>
      </c>
      <c r="B56" t="s">
        <v>18</v>
      </c>
      <c r="C56" t="s">
        <v>2</v>
      </c>
      <c r="D56" t="s">
        <v>19</v>
      </c>
      <c r="E56" s="2">
        <v>1100</v>
      </c>
    </row>
    <row r="57" spans="1:5" x14ac:dyDescent="0.25">
      <c r="A57" s="3">
        <v>46266</v>
      </c>
      <c r="B57" t="s">
        <v>18</v>
      </c>
      <c r="C57" t="s">
        <v>2</v>
      </c>
      <c r="D57" t="s">
        <v>19</v>
      </c>
      <c r="E57" s="2">
        <v>1300</v>
      </c>
    </row>
    <row r="58" spans="1:5" x14ac:dyDescent="0.25">
      <c r="A58" s="3">
        <v>46266</v>
      </c>
      <c r="B58" t="s">
        <v>18</v>
      </c>
      <c r="C58" t="s">
        <v>2</v>
      </c>
      <c r="D58" t="s">
        <v>23</v>
      </c>
      <c r="E58" s="2">
        <v>10000</v>
      </c>
    </row>
    <row r="59" spans="1:5" x14ac:dyDescent="0.25">
      <c r="A59" s="3">
        <v>46266</v>
      </c>
      <c r="B59" t="s">
        <v>26</v>
      </c>
      <c r="C59" t="s">
        <v>8</v>
      </c>
      <c r="D59" t="s">
        <v>19</v>
      </c>
      <c r="E59" s="2">
        <v>10000</v>
      </c>
    </row>
    <row r="60" spans="1:5" x14ac:dyDescent="0.25">
      <c r="A60" s="3">
        <v>46327</v>
      </c>
      <c r="B60" t="s">
        <v>18</v>
      </c>
      <c r="C60" t="s">
        <v>2</v>
      </c>
      <c r="D60" t="s">
        <v>19</v>
      </c>
      <c r="E60" s="2">
        <v>3500</v>
      </c>
    </row>
    <row r="61" spans="1:5" x14ac:dyDescent="0.25">
      <c r="A61" s="3">
        <v>46357</v>
      </c>
      <c r="B61" t="s">
        <v>18</v>
      </c>
      <c r="C61" t="s">
        <v>2</v>
      </c>
      <c r="D61" t="s">
        <v>19</v>
      </c>
      <c r="E61" s="2">
        <v>4800</v>
      </c>
    </row>
    <row r="62" spans="1:5" x14ac:dyDescent="0.25">
      <c r="A62" s="3" t="s">
        <v>43</v>
      </c>
      <c r="B62" t="s">
        <v>44</v>
      </c>
      <c r="C62" t="s">
        <v>8</v>
      </c>
      <c r="D62" t="s">
        <v>23</v>
      </c>
      <c r="E62" s="2">
        <v>2000</v>
      </c>
    </row>
    <row r="63" spans="1:5" x14ac:dyDescent="0.25">
      <c r="A63" s="3" t="s">
        <v>43</v>
      </c>
      <c r="B63" t="s">
        <v>18</v>
      </c>
      <c r="C63" t="s">
        <v>2</v>
      </c>
      <c r="D63" t="s">
        <v>19</v>
      </c>
      <c r="E63" s="2">
        <v>1600</v>
      </c>
    </row>
    <row r="64" spans="1:5" x14ac:dyDescent="0.25">
      <c r="A64" s="3" t="s">
        <v>43</v>
      </c>
      <c r="B64" t="s">
        <v>18</v>
      </c>
      <c r="C64" t="s">
        <v>2</v>
      </c>
      <c r="D64" t="s">
        <v>19</v>
      </c>
      <c r="E64" s="2">
        <v>1100</v>
      </c>
    </row>
    <row r="65" spans="1:5" x14ac:dyDescent="0.25">
      <c r="A65" s="3" t="s">
        <v>45</v>
      </c>
      <c r="B65" t="s">
        <v>10</v>
      </c>
      <c r="C65" t="s">
        <v>10</v>
      </c>
      <c r="D65" t="s">
        <v>19</v>
      </c>
      <c r="E65" s="2">
        <v>5000</v>
      </c>
    </row>
    <row r="66" spans="1:5" x14ac:dyDescent="0.25">
      <c r="A66" s="3" t="s">
        <v>45</v>
      </c>
      <c r="B66" t="s">
        <v>18</v>
      </c>
      <c r="C66" t="s">
        <v>2</v>
      </c>
      <c r="D66" t="s">
        <v>19</v>
      </c>
      <c r="E66" s="2">
        <v>1600</v>
      </c>
    </row>
    <row r="67" spans="1:5" x14ac:dyDescent="0.25">
      <c r="A67" s="3" t="s">
        <v>45</v>
      </c>
      <c r="B67" t="s">
        <v>26</v>
      </c>
      <c r="C67" t="s">
        <v>3</v>
      </c>
      <c r="D67" t="s">
        <v>19</v>
      </c>
      <c r="E67" s="2">
        <v>2100</v>
      </c>
    </row>
    <row r="68" spans="1:5" x14ac:dyDescent="0.25">
      <c r="A68" s="3" t="s">
        <v>46</v>
      </c>
      <c r="B68" t="s">
        <v>38</v>
      </c>
      <c r="C68" t="s">
        <v>5</v>
      </c>
      <c r="D68" t="s">
        <v>19</v>
      </c>
      <c r="E68" s="2">
        <v>200</v>
      </c>
    </row>
  </sheetData>
  <phoneticPr fontId="1" type="noConversion"/>
  <dataValidations count="1">
    <dataValidation type="list" allowBlank="1" showInputMessage="1" showErrorMessage="1" sqref="D1:D1048576" xr:uid="{C84D6993-2FFA-4103-B20E-0F2DD0333777}">
      <formula1>"Income,Expense"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FF655BA-C9D7-40B6-8F5A-2B3B5CE4C702}">
          <x14:formula1>
            <xm:f>Setup!$A$2:$A$11</xm:f>
          </x14:formula1>
          <xm:sqref>C1:C1048576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80E53-13C2-4110-8DEC-1416B4655582}">
  <sheetPr filterMode="1"/>
  <dimension ref="A1:D54"/>
  <sheetViews>
    <sheetView topLeftCell="A39" workbookViewId="0">
      <selection activeCell="B48" sqref="B48:C54"/>
    </sheetView>
  </sheetViews>
  <sheetFormatPr defaultRowHeight="15" x14ac:dyDescent="0.25"/>
  <cols>
    <col min="1" max="1" width="14.28515625" bestFit="1" customWidth="1"/>
    <col min="2" max="2" width="15.28515625" bestFit="1" customWidth="1"/>
    <col min="3" max="3" width="18.140625" customWidth="1"/>
    <col min="4" max="4" width="10.28515625" customWidth="1"/>
  </cols>
  <sheetData>
    <row r="1" spans="1:4" x14ac:dyDescent="0.25">
      <c r="A1" t="s">
        <v>0</v>
      </c>
      <c r="B1" t="s">
        <v>47</v>
      </c>
      <c r="C1" t="s">
        <v>48</v>
      </c>
      <c r="D1" t="s">
        <v>49</v>
      </c>
    </row>
    <row r="2" spans="1:4" hidden="1" x14ac:dyDescent="0.25">
      <c r="A2" t="s">
        <v>1</v>
      </c>
      <c r="B2" s="4">
        <f>SUMIFS(Transaction!E2:E68,Transaction!C2:C68,Summary!A2,Transaction!D2:D68,"Expense")</f>
        <v>30000</v>
      </c>
      <c r="C2" s="2">
        <f>VLOOKUP(A2,Setup!A:B,2,FALSE)</f>
        <v>30000</v>
      </c>
      <c r="D2" s="2">
        <f>C2-B2</f>
        <v>0</v>
      </c>
    </row>
    <row r="3" spans="1:4" x14ac:dyDescent="0.25">
      <c r="A3" t="s">
        <v>2</v>
      </c>
      <c r="B3" s="4">
        <f>SUMIFS(Transaction!E3:E69,Transaction!C3:C69,Summary!A3,Transaction!D3:D69,"Expense")</f>
        <v>70860</v>
      </c>
      <c r="C3" s="2">
        <f>VLOOKUP(A3,Setup!A:B,2,FALSE)</f>
        <v>50000</v>
      </c>
      <c r="D3" s="2">
        <f t="shared" ref="D3:D11" si="0">C3-B3</f>
        <v>-20860</v>
      </c>
    </row>
    <row r="4" spans="1:4" hidden="1" x14ac:dyDescent="0.25">
      <c r="A4" t="s">
        <v>3</v>
      </c>
      <c r="B4" s="4">
        <f>SUMIFS(Transaction!E4:E70,Transaction!C4:C70,Summary!A4,Transaction!D4:D70,"Expense")</f>
        <v>31600</v>
      </c>
      <c r="C4" s="2">
        <f>VLOOKUP(A4,Setup!A:B,2,FALSE)</f>
        <v>45000</v>
      </c>
      <c r="D4" s="2">
        <f t="shared" si="0"/>
        <v>13400</v>
      </c>
    </row>
    <row r="5" spans="1:4" x14ac:dyDescent="0.25">
      <c r="A5" t="s">
        <v>4</v>
      </c>
      <c r="B5" s="4">
        <f>SUMIFS(Transaction!E5:E71,Transaction!C5:C71,Summary!A5,Transaction!D5:D71,"Expense")</f>
        <v>27700</v>
      </c>
      <c r="C5" s="2">
        <v>0</v>
      </c>
      <c r="D5" s="2">
        <f t="shared" si="0"/>
        <v>-27700</v>
      </c>
    </row>
    <row r="6" spans="1:4" x14ac:dyDescent="0.25">
      <c r="A6" t="s">
        <v>5</v>
      </c>
      <c r="B6" s="4">
        <f>SUMIFS(Transaction!E6:E72,Transaction!C6:C72,Summary!A6,Transaction!D6:D72,"Expense")</f>
        <v>17200</v>
      </c>
      <c r="C6" s="2">
        <f>VLOOKUP(A6,Setup!A:B,2,FALSE)</f>
        <v>2000</v>
      </c>
      <c r="D6" s="2">
        <f t="shared" si="0"/>
        <v>-15200</v>
      </c>
    </row>
    <row r="7" spans="1:4" x14ac:dyDescent="0.25">
      <c r="A7" t="s">
        <v>6</v>
      </c>
      <c r="B7" s="4">
        <f>SUMIFS(Transaction!E7:E73,Transaction!C7:C73,Summary!A7,Transaction!D7:D73,"Expense")</f>
        <v>20000</v>
      </c>
      <c r="C7" s="2">
        <f>VLOOKUP(A7,Setup!A:B,2,FALSE)</f>
        <v>4500</v>
      </c>
      <c r="D7" s="2">
        <f t="shared" si="0"/>
        <v>-15500</v>
      </c>
    </row>
    <row r="8" spans="1:4" hidden="1" x14ac:dyDescent="0.25">
      <c r="A8" t="s">
        <v>10</v>
      </c>
      <c r="B8" s="4">
        <f>SUMIFS(Transaction!E8:E74,Transaction!C8:C74,Summary!A8,Transaction!D8:D74,"Expense")</f>
        <v>5000</v>
      </c>
      <c r="C8" s="2">
        <f>VLOOKUP(A8,Setup!A:B,2,FALSE)</f>
        <v>10000</v>
      </c>
      <c r="D8" s="2">
        <f t="shared" si="0"/>
        <v>5000</v>
      </c>
    </row>
    <row r="9" spans="1:4" hidden="1" x14ac:dyDescent="0.25">
      <c r="A9" t="s">
        <v>11</v>
      </c>
      <c r="B9" s="4">
        <f>SUMIFS(Transaction!E9:E75,Transaction!C9:C75,Summary!A9,Transaction!D9:D75,"Expense")</f>
        <v>10000</v>
      </c>
      <c r="C9" s="2">
        <f>VLOOKUP(A9,Setup!A:B,2,FALSE)</f>
        <v>10000</v>
      </c>
      <c r="D9" s="2">
        <f t="shared" si="0"/>
        <v>0</v>
      </c>
    </row>
    <row r="10" spans="1:4" hidden="1" x14ac:dyDescent="0.25">
      <c r="A10" t="s">
        <v>7</v>
      </c>
      <c r="B10" s="4">
        <f>SUMIFS(Transaction!E10:E76,Transaction!C10:C76,Summary!A10,Transaction!D10:D76,"Expense")</f>
        <v>0</v>
      </c>
      <c r="C10" s="2">
        <v>0</v>
      </c>
      <c r="D10" s="2">
        <f t="shared" si="0"/>
        <v>0</v>
      </c>
    </row>
    <row r="11" spans="1:4" x14ac:dyDescent="0.25">
      <c r="A11" t="s">
        <v>8</v>
      </c>
      <c r="B11" s="4">
        <f>SUMIFS(Transaction!E11:E77,Transaction!C11:C77,Summary!A11,Transaction!D11:D77,"Expense")</f>
        <v>43500</v>
      </c>
      <c r="C11" s="2">
        <v>0</v>
      </c>
      <c r="D11" s="2">
        <f t="shared" si="0"/>
        <v>-43500</v>
      </c>
    </row>
    <row r="14" spans="1:4" x14ac:dyDescent="0.25">
      <c r="A14" t="s">
        <v>54</v>
      </c>
    </row>
    <row r="16" spans="1:4" x14ac:dyDescent="0.25">
      <c r="A16" t="s">
        <v>55</v>
      </c>
      <c r="B16" s="2">
        <f>SUMIFS(Transaction!E2:E68,Transaction!D2:D68,"income")</f>
        <v>270300</v>
      </c>
    </row>
    <row r="17" spans="1:2" x14ac:dyDescent="0.25">
      <c r="A17" t="s">
        <v>56</v>
      </c>
      <c r="B17" s="2">
        <f>SUMIFS(Transaction!E2:E68,Transaction!D2:D68,"Expense")</f>
        <v>266860</v>
      </c>
    </row>
    <row r="18" spans="1:2" x14ac:dyDescent="0.25">
      <c r="A18" t="s">
        <v>57</v>
      </c>
      <c r="B18" s="2">
        <f>B16-B17</f>
        <v>3440</v>
      </c>
    </row>
    <row r="21" spans="1:2" x14ac:dyDescent="0.25">
      <c r="A21" t="s">
        <v>0</v>
      </c>
      <c r="B21" t="s">
        <v>48</v>
      </c>
    </row>
    <row r="22" spans="1:2" x14ac:dyDescent="0.25">
      <c r="A22" t="s">
        <v>1</v>
      </c>
      <c r="B22">
        <v>30000</v>
      </c>
    </row>
    <row r="23" spans="1:2" x14ac:dyDescent="0.25">
      <c r="A23" t="s">
        <v>2</v>
      </c>
      <c r="B23">
        <v>50000</v>
      </c>
    </row>
    <row r="24" spans="1:2" x14ac:dyDescent="0.25">
      <c r="A24" t="s">
        <v>3</v>
      </c>
      <c r="B24">
        <v>45000</v>
      </c>
    </row>
    <row r="25" spans="1:2" x14ac:dyDescent="0.25">
      <c r="A25" t="s">
        <v>4</v>
      </c>
      <c r="B25">
        <v>0</v>
      </c>
    </row>
    <row r="26" spans="1:2" x14ac:dyDescent="0.25">
      <c r="A26" t="s">
        <v>5</v>
      </c>
      <c r="B26">
        <v>2000</v>
      </c>
    </row>
    <row r="27" spans="1:2" x14ac:dyDescent="0.25">
      <c r="A27" t="s">
        <v>6</v>
      </c>
      <c r="B27">
        <v>4500</v>
      </c>
    </row>
    <row r="28" spans="1:2" x14ac:dyDescent="0.25">
      <c r="A28" t="s">
        <v>10</v>
      </c>
      <c r="B28">
        <v>10000</v>
      </c>
    </row>
    <row r="29" spans="1:2" x14ac:dyDescent="0.25">
      <c r="A29" t="s">
        <v>11</v>
      </c>
      <c r="B29">
        <v>10000</v>
      </c>
    </row>
    <row r="30" spans="1:2" x14ac:dyDescent="0.25">
      <c r="A30" t="s">
        <v>7</v>
      </c>
      <c r="B30">
        <v>0</v>
      </c>
    </row>
    <row r="31" spans="1:2" x14ac:dyDescent="0.25">
      <c r="A31" t="s">
        <v>8</v>
      </c>
      <c r="B31">
        <v>0</v>
      </c>
    </row>
    <row r="42" spans="2:3" ht="15.75" thickBot="1" x14ac:dyDescent="0.3"/>
    <row r="43" spans="2:3" ht="15.75" thickBot="1" x14ac:dyDescent="0.3">
      <c r="B43" s="26" t="s">
        <v>59</v>
      </c>
      <c r="C43" s="21"/>
    </row>
    <row r="44" spans="2:3" x14ac:dyDescent="0.25">
      <c r="B44" s="22" t="s">
        <v>0</v>
      </c>
      <c r="C44" s="22" t="s">
        <v>60</v>
      </c>
    </row>
    <row r="45" spans="2:3" x14ac:dyDescent="0.25">
      <c r="B45" s="22" t="s">
        <v>3</v>
      </c>
      <c r="C45" s="23">
        <v>13400</v>
      </c>
    </row>
    <row r="46" spans="2:3" ht="15.75" thickBot="1" x14ac:dyDescent="0.3">
      <c r="B46" s="24" t="s">
        <v>10</v>
      </c>
      <c r="C46" s="25">
        <v>5000</v>
      </c>
    </row>
    <row r="47" spans="2:3" ht="15.75" thickBot="1" x14ac:dyDescent="0.3"/>
    <row r="48" spans="2:3" ht="15.75" thickBot="1" x14ac:dyDescent="0.3">
      <c r="B48" s="26" t="s">
        <v>61</v>
      </c>
      <c r="C48" s="21"/>
    </row>
    <row r="49" spans="2:3" x14ac:dyDescent="0.25">
      <c r="B49" s="22" t="s">
        <v>0</v>
      </c>
      <c r="C49" s="22" t="s">
        <v>62</v>
      </c>
    </row>
    <row r="50" spans="2:3" x14ac:dyDescent="0.25">
      <c r="B50" s="22" t="s">
        <v>2</v>
      </c>
      <c r="C50" s="27">
        <v>-20860</v>
      </c>
    </row>
    <row r="51" spans="2:3" x14ac:dyDescent="0.25">
      <c r="B51" s="22" t="s">
        <v>4</v>
      </c>
      <c r="C51" s="27">
        <v>-27700</v>
      </c>
    </row>
    <row r="52" spans="2:3" x14ac:dyDescent="0.25">
      <c r="B52" s="22" t="s">
        <v>5</v>
      </c>
      <c r="C52" s="27">
        <v>-15200</v>
      </c>
    </row>
    <row r="53" spans="2:3" x14ac:dyDescent="0.25">
      <c r="B53" s="22" t="s">
        <v>6</v>
      </c>
      <c r="C53" s="27">
        <v>-15500</v>
      </c>
    </row>
    <row r="54" spans="2:3" ht="15.75" thickBot="1" x14ac:dyDescent="0.3">
      <c r="B54" s="24" t="s">
        <v>8</v>
      </c>
      <c r="C54" s="28">
        <v>-43500</v>
      </c>
    </row>
  </sheetData>
  <autoFilter ref="A1:D31" xr:uid="{6CF80E53-13C2-4110-8DEC-1416B4655582}">
    <filterColumn colId="3">
      <filters blank="1">
        <filter val="-₦15,200"/>
        <filter val="-₦15,500"/>
        <filter val="-₦20,860"/>
        <filter val="-₦27,700"/>
        <filter val="-₦43,500"/>
      </filters>
    </filterColumn>
  </autoFilter>
  <conditionalFormatting sqref="D2:D11">
    <cfRule type="cellIs" dxfId="2" priority="1" operator="equal">
      <formula>0</formula>
    </cfRule>
    <cfRule type="cellIs" dxfId="1" priority="2" operator="lessThan">
      <formula>0</formula>
    </cfRule>
    <cfRule type="cellIs" dxfId="0" priority="3" operator="greater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Setup</vt:lpstr>
      <vt:lpstr>Pivot analysis</vt:lpstr>
      <vt:lpstr>Dashboard Analysis</vt:lpstr>
      <vt:lpstr>Transaction</vt:lpstr>
      <vt:lpstr>Summary</vt:lpstr>
      <vt:lpstr>'Dashboard Analysis'!Print_Area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Konyefa David Ebimi</dc:creator>
  <cp:lastModifiedBy>Konyefa David Ebimi</cp:lastModifiedBy>
  <cp:lastPrinted>2026-02-03T12:56:57Z</cp:lastPrinted>
  <dcterms:created xsi:type="dcterms:W3CDTF">2026-02-02T15:46:49Z</dcterms:created>
  <dcterms:modified xsi:type="dcterms:W3CDTF">2026-02-03T13:13:14Z</dcterms:modified>
</cp:coreProperties>
</file>